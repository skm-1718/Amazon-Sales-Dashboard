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1.xml" ContentType="application/vnd.ms-excel.slicer+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ml.chartshapes+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mohap\Downloads\"/>
    </mc:Choice>
  </mc:AlternateContent>
  <xr:revisionPtr revIDLastSave="0" documentId="13_ncr:1_{83EF81D9-2132-4306-A2D8-87FA7E137AB3}" xr6:coauthVersionLast="47" xr6:coauthVersionMax="47" xr10:uidLastSave="{00000000-0000-0000-0000-000000000000}"/>
  <bookViews>
    <workbookView xWindow="-110" yWindow="-110" windowWidth="19420" windowHeight="10300" xr2:uid="{00000000-000D-0000-FFFF-FFFF00000000}"/>
  </bookViews>
  <sheets>
    <sheet name="AMAZON SALES DATA" sheetId="1" r:id="rId1"/>
    <sheet name="KPIS" sheetId="2" r:id="rId2"/>
    <sheet name="CITY WISE SALES" sheetId="3" r:id="rId3"/>
    <sheet name="STATE WISE SALES CHART" sheetId="9" r:id="rId4"/>
    <sheet name="PRODUCT WISE UNITS" sheetId="6" r:id="rId5"/>
    <sheet name="SLICERS-STATE AND PRODUCT" sheetId="10" r:id="rId6"/>
    <sheet name="DASBOARD" sheetId="8" r:id="rId7"/>
    <sheet name="INSIGHTS" sheetId="11" r:id="rId8"/>
  </sheets>
  <definedNames>
    <definedName name="_xlchart.v5.0" hidden="1">'AMAZON SALES DATA'!$C$1</definedName>
    <definedName name="_xlchart.v5.1" hidden="1">'AMAZON SALES DATA'!$C$2:$C$11</definedName>
    <definedName name="_xlchart.v5.2" hidden="1">'AMAZON SALES DATA'!$H$1</definedName>
    <definedName name="_xlchart.v5.3" hidden="1">'AMAZON SALES DATA'!$H$2:$H$11</definedName>
    <definedName name="_xlchart.v5.4" hidden="1">'AMAZON SALES DATA'!$C$1</definedName>
    <definedName name="_xlchart.v5.5" hidden="1">'AMAZON SALES DATA'!$C$2:$C$11</definedName>
    <definedName name="_xlchart.v5.6" hidden="1">'AMAZON SALES DATA'!$H$1</definedName>
    <definedName name="_xlchart.v5.7" hidden="1">'AMAZON SALES DATA'!$H$2:$H$11</definedName>
    <definedName name="Slicer_Product_Category">#N/A</definedName>
    <definedName name="Slicer_Stat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2" l="1"/>
  <c r="B11" i="2"/>
  <c r="F12" i="2"/>
  <c r="B17" i="2"/>
  <c r="F17" i="2"/>
  <c r="F19" i="2" s="1"/>
  <c r="B19" i="2" s="1"/>
  <c r="B20" i="2" s="1"/>
  <c r="F11" i="2"/>
  <c r="F13" i="2" s="1"/>
  <c r="B13" i="2" s="1"/>
  <c r="B14" i="2" s="1"/>
  <c r="B5" i="2"/>
  <c r="D12" i="1"/>
  <c r="G12" i="1"/>
  <c r="H12" i="1"/>
  <c r="B6" i="2" l="1"/>
  <c r="F6" i="2"/>
  <c r="B7" i="2" s="1"/>
  <c r="B8" i="2" s="1"/>
</calcChain>
</file>

<file path=xl/sharedStrings.xml><?xml version="1.0" encoding="utf-8"?>
<sst xmlns="http://schemas.openxmlformats.org/spreadsheetml/2006/main" count="127" uniqueCount="82">
  <si>
    <t>Order ID</t>
  </si>
  <si>
    <t>Date of Sale</t>
  </si>
  <si>
    <t>State</t>
  </si>
  <si>
    <t>City</t>
  </si>
  <si>
    <t>Product Category</t>
  </si>
  <si>
    <t>Product Name</t>
  </si>
  <si>
    <t>Units Sold</t>
  </si>
  <si>
    <t>Sales Amount (₹)</t>
  </si>
  <si>
    <t>ORD1001</t>
  </si>
  <si>
    <t>01-01-2025</t>
  </si>
  <si>
    <t>Maharashtra</t>
  </si>
  <si>
    <t>Mumbai</t>
  </si>
  <si>
    <t>Electronics</t>
  </si>
  <si>
    <t>Smart Watch</t>
  </si>
  <si>
    <t>ORD1002</t>
  </si>
  <si>
    <t>02-01-2025</t>
  </si>
  <si>
    <t>Karnataka</t>
  </si>
  <si>
    <t>Bangalore</t>
  </si>
  <si>
    <t>Clothing</t>
  </si>
  <si>
    <t>Men T-Shirt</t>
  </si>
  <si>
    <t>ORD1003</t>
  </si>
  <si>
    <t>03-01-2025</t>
  </si>
  <si>
    <t>Delhi</t>
  </si>
  <si>
    <t>New Delhi</t>
  </si>
  <si>
    <t>Home &amp; Kitchen</t>
  </si>
  <si>
    <t>Mixer Grinder</t>
  </si>
  <si>
    <t>ORD1004</t>
  </si>
  <si>
    <t>04-01-2025</t>
  </si>
  <si>
    <t>Telangana</t>
  </si>
  <si>
    <t>Hyderabad</t>
  </si>
  <si>
    <t>Bluetooth Speaker</t>
  </si>
  <si>
    <t>ORD1005</t>
  </si>
  <si>
    <t>05-01-2025</t>
  </si>
  <si>
    <t>Tamil Nadu</t>
  </si>
  <si>
    <t>Chennai</t>
  </si>
  <si>
    <t>Beauty</t>
  </si>
  <si>
    <t>Skin Care Kit</t>
  </si>
  <si>
    <t>ORD1006</t>
  </si>
  <si>
    <t>06-01-2025</t>
  </si>
  <si>
    <t>Odisha</t>
  </si>
  <si>
    <t>Bhubaneswar</t>
  </si>
  <si>
    <t>Grocery</t>
  </si>
  <si>
    <t>Dry Fruits Pack</t>
  </si>
  <si>
    <t>ORD1007</t>
  </si>
  <si>
    <t>07-01-2025</t>
  </si>
  <si>
    <t>West Bengal</t>
  </si>
  <si>
    <t>Kolkata</t>
  </si>
  <si>
    <t>Headphones</t>
  </si>
  <si>
    <t>ORD1008</t>
  </si>
  <si>
    <t>08-01-2025</t>
  </si>
  <si>
    <t>Gujarat</t>
  </si>
  <si>
    <t>Ahmedabad</t>
  </si>
  <si>
    <t>Women Kurti</t>
  </si>
  <si>
    <t>ORD1009</t>
  </si>
  <si>
    <t>09-01-2025</t>
  </si>
  <si>
    <t>Rajasthan</t>
  </si>
  <si>
    <t>Jaipur</t>
  </si>
  <si>
    <t>Furniture</t>
  </si>
  <si>
    <t>Office Chair</t>
  </si>
  <si>
    <t>ORD1010</t>
  </si>
  <si>
    <t>10-01-2025</t>
  </si>
  <si>
    <t>Uttar Pradesh</t>
  </si>
  <si>
    <t>Lucknow</t>
  </si>
  <si>
    <t>Books</t>
  </si>
  <si>
    <t>Competitive Exam Book</t>
  </si>
  <si>
    <t>KPIS</t>
  </si>
  <si>
    <t>TOTAL SALES</t>
  </si>
  <si>
    <t>TOTAL UNIT SOLD</t>
  </si>
  <si>
    <t>TOTAL CITIES</t>
  </si>
  <si>
    <t>ACTUAL</t>
  </si>
  <si>
    <t>TARGET</t>
  </si>
  <si>
    <t>AMOUNT</t>
  </si>
  <si>
    <t>NUMBERS</t>
  </si>
  <si>
    <t>PROGRESS</t>
  </si>
  <si>
    <t>Grand Total</t>
  </si>
  <si>
    <t>Sum of Sales Amount (₹)</t>
  </si>
  <si>
    <t>Sum of Units Sold</t>
  </si>
  <si>
    <t>INSIGHTS FROM THE ANALYSIS</t>
  </si>
  <si>
    <t>1-Maharshtra generated the highest sales.</t>
  </si>
  <si>
    <t xml:space="preserve">2-Electronics category performed the best amongst all </t>
  </si>
  <si>
    <t>3-Mumbai has the highest city wise sales</t>
  </si>
  <si>
    <t>4-Sales increased during the festive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</si>
</sst>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7" x14ac:knownFonts="1">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
      <sz val="18"/>
      <color theme="1"/>
      <name val="Calibri"/>
      <family val="2"/>
      <scheme val="minor"/>
    </font>
    <font>
      <b/>
      <sz val="12"/>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00B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2" fillId="0" borderId="0" applyFont="0" applyFill="0" applyBorder="0" applyAlignment="0" applyProtection="0"/>
  </cellStyleXfs>
  <cellXfs count="32">
    <xf numFmtId="0" fontId="0" fillId="0" borderId="0" xfId="0"/>
    <xf numFmtId="0" fontId="0" fillId="0" borderId="0" xfId="0" applyAlignment="1">
      <alignment horizontal="center"/>
    </xf>
    <xf numFmtId="164" fontId="0" fillId="0" borderId="0" xfId="0" applyNumberFormat="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0" fontId="0" fillId="0" borderId="2" xfId="0" applyBorder="1" applyAlignment="1">
      <alignment horizontal="center"/>
    </xf>
    <xf numFmtId="164" fontId="0" fillId="0" borderId="3" xfId="0" applyNumberForma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64" fontId="0" fillId="0" borderId="9" xfId="0" applyNumberFormat="1" applyBorder="1" applyAlignment="1">
      <alignment horizontal="center"/>
    </xf>
    <xf numFmtId="9" fontId="0" fillId="0" borderId="0" xfId="1" applyFont="1"/>
    <xf numFmtId="0" fontId="0" fillId="0" borderId="1" xfId="0" pivotButton="1" applyBorder="1" applyAlignment="1">
      <alignment horizontal="center"/>
    </xf>
    <xf numFmtId="0" fontId="0" fillId="2" borderId="1" xfId="0" applyFill="1" applyBorder="1" applyAlignment="1">
      <alignment horizontal="center"/>
    </xf>
    <xf numFmtId="164" fontId="0" fillId="2" borderId="1" xfId="0" applyNumberFormat="1" applyFill="1" applyBorder="1" applyAlignment="1">
      <alignment horizontal="center"/>
    </xf>
    <xf numFmtId="0" fontId="3" fillId="3" borderId="1" xfId="0" applyFont="1" applyFill="1" applyBorder="1" applyAlignment="1">
      <alignment horizontal="center"/>
    </xf>
    <xf numFmtId="164" fontId="3" fillId="3" borderId="1" xfId="0" applyNumberFormat="1" applyFont="1" applyFill="1" applyBorder="1" applyAlignment="1">
      <alignment horizontal="center"/>
    </xf>
    <xf numFmtId="164" fontId="5" fillId="3" borderId="1" xfId="0" applyNumberFormat="1" applyFont="1" applyFill="1" applyBorder="1" applyAlignment="1">
      <alignment horizontal="center"/>
    </xf>
    <xf numFmtId="9" fontId="3" fillId="3" borderId="1" xfId="0" applyNumberFormat="1" applyFont="1" applyFill="1" applyBorder="1" applyAlignment="1">
      <alignment horizontal="center"/>
    </xf>
    <xf numFmtId="0" fontId="3" fillId="4" borderId="1" xfId="0" applyFont="1" applyFill="1" applyBorder="1" applyAlignment="1">
      <alignment horizontal="center"/>
    </xf>
    <xf numFmtId="9" fontId="3" fillId="4" borderId="1" xfId="1" applyFont="1" applyFill="1" applyBorder="1" applyAlignment="1">
      <alignment horizontal="center"/>
    </xf>
    <xf numFmtId="0" fontId="3" fillId="5" borderId="1" xfId="0" applyFont="1" applyFill="1" applyBorder="1" applyAlignment="1">
      <alignment horizontal="center"/>
    </xf>
    <xf numFmtId="9" fontId="3" fillId="5" borderId="1" xfId="0" applyNumberFormat="1" applyFont="1" applyFill="1" applyBorder="1" applyAlignment="1">
      <alignment horizontal="center"/>
    </xf>
    <xf numFmtId="9" fontId="3" fillId="3" borderId="1" xfId="1" applyFont="1" applyFill="1" applyBorder="1" applyAlignment="1">
      <alignment horizontal="center"/>
    </xf>
    <xf numFmtId="164" fontId="3" fillId="4" borderId="1" xfId="1" applyNumberFormat="1" applyFont="1" applyFill="1" applyBorder="1" applyAlignment="1">
      <alignment horizontal="center"/>
    </xf>
    <xf numFmtId="9" fontId="3" fillId="5" borderId="1" xfId="1" applyFont="1" applyFill="1" applyBorder="1" applyAlignment="1">
      <alignment horizontal="center"/>
    </xf>
    <xf numFmtId="0" fontId="4" fillId="6" borderId="0" xfId="0" applyFont="1" applyFill="1" applyAlignment="1">
      <alignment horizontal="center" vertical="center"/>
    </xf>
    <xf numFmtId="0" fontId="6" fillId="0" borderId="0" xfId="0" applyFont="1" applyAlignment="1">
      <alignment horizontal="center"/>
    </xf>
    <xf numFmtId="0" fontId="4" fillId="2" borderId="0" xfId="0" applyFont="1" applyFill="1" applyAlignment="1">
      <alignment horizontal="center"/>
    </xf>
    <xf numFmtId="0" fontId="0" fillId="0" borderId="0" xfId="0" applyAlignment="1">
      <alignment horizontal="center"/>
    </xf>
  </cellXfs>
  <cellStyles count="2">
    <cellStyle name="Normal" xfId="0" builtinId="0"/>
    <cellStyle name="Percent" xfId="1" builtinId="5"/>
  </cellStyles>
  <dxfs count="5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alignment horizontal="center" vertical="bottom" textRotation="0" wrapText="0" indent="0" justifyLastLine="0" shrinkToFit="0" readingOrder="0"/>
      <border diagonalUp="0" diagonalDown="0" outline="0">
        <left style="thin">
          <color indexed="64"/>
        </left>
        <right/>
        <top style="thin">
          <color indexed="64"/>
        </top>
        <bottom/>
      </border>
    </dxf>
    <dxf>
      <numFmt numFmtId="164" formatCode="&quot;₹&quot;\ #,##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outline="0">
        <left/>
        <right style="thin">
          <color indexed="64"/>
        </right>
        <top style="thin">
          <color indexed="64"/>
        </top>
        <bottom/>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224FCE"/>
      <color rgb="FF00CA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81-4F0D-A3C0-9B6401DDE8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81-4F0D-A3C0-9B6401DDE8F1}"/>
              </c:ext>
            </c:extLst>
          </c:dPt>
          <c:cat>
            <c:strRef>
              <c:f>KPIS!$A$7:$A$8</c:f>
              <c:strCache>
                <c:ptCount val="2"/>
                <c:pt idx="0">
                  <c:v>ACTUAL</c:v>
                </c:pt>
                <c:pt idx="1">
                  <c:v>TARGET</c:v>
                </c:pt>
              </c:strCache>
            </c:strRef>
          </c:cat>
          <c:val>
            <c:numRef>
              <c:f>KPIS!$B$7:$B$8</c:f>
              <c:numCache>
                <c:formatCode>0%</c:formatCode>
                <c:ptCount val="2"/>
                <c:pt idx="0">
                  <c:v>0.81151515151515152</c:v>
                </c:pt>
                <c:pt idx="1">
                  <c:v>0.18848484848484848</c:v>
                </c:pt>
              </c:numCache>
            </c:numRef>
          </c:val>
          <c:extLst>
            <c:ext xmlns:c16="http://schemas.microsoft.com/office/drawing/2014/chart" uri="{C3380CC4-5D6E-409C-BE32-E72D297353CC}">
              <c16:uniqueId val="{00000000-94DE-47D8-8718-E8998F555F4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6.5603684069934123E-2"/>
          <c:y val="0.78317423592193158"/>
          <c:w val="0.87811398724673462"/>
          <c:h val="0.159953726163376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A6-45B3-8D40-F138009B3E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A6-45B3-8D40-F138009B3E12}"/>
              </c:ext>
            </c:extLst>
          </c:dPt>
          <c:cat>
            <c:strRef>
              <c:f>KPIS!$A$13:$A$14</c:f>
              <c:strCache>
                <c:ptCount val="2"/>
                <c:pt idx="0">
                  <c:v>ACTUAL</c:v>
                </c:pt>
                <c:pt idx="1">
                  <c:v>TARGET</c:v>
                </c:pt>
              </c:strCache>
            </c:strRef>
          </c:cat>
          <c:val>
            <c:numRef>
              <c:f>KPIS!$B$13:$B$14</c:f>
              <c:numCache>
                <c:formatCode>0%</c:formatCode>
                <c:ptCount val="2"/>
                <c:pt idx="0">
                  <c:v>0.91666666666666663</c:v>
                </c:pt>
                <c:pt idx="1">
                  <c:v>8.333333333333337E-2</c:v>
                </c:pt>
              </c:numCache>
            </c:numRef>
          </c:val>
          <c:extLst>
            <c:ext xmlns:c16="http://schemas.microsoft.com/office/drawing/2014/chart" uri="{C3380CC4-5D6E-409C-BE32-E72D297353CC}">
              <c16:uniqueId val="{00000000-F300-4230-A1ED-06F3B029173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72-4FEA-9F21-6BDEB5A5A3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72-4FEA-9F21-6BDEB5A5A3A3}"/>
              </c:ext>
            </c:extLst>
          </c:dPt>
          <c:cat>
            <c:strRef>
              <c:f>KPIS!$A$19:$A$20</c:f>
              <c:strCache>
                <c:ptCount val="2"/>
                <c:pt idx="0">
                  <c:v>ACTUAL</c:v>
                </c:pt>
                <c:pt idx="1">
                  <c:v>TARGET</c:v>
                </c:pt>
              </c:strCache>
            </c:strRef>
          </c:cat>
          <c:val>
            <c:numRef>
              <c:f>KPIS!$B$19:$B$20</c:f>
              <c:numCache>
                <c:formatCode>0%</c:formatCode>
                <c:ptCount val="2"/>
                <c:pt idx="0">
                  <c:v>0.83333333333333337</c:v>
                </c:pt>
                <c:pt idx="1">
                  <c:v>0.16666666666666663</c:v>
                </c:pt>
              </c:numCache>
            </c:numRef>
          </c:val>
          <c:extLst>
            <c:ext xmlns:c16="http://schemas.microsoft.com/office/drawing/2014/chart" uri="{C3380CC4-5D6E-409C-BE32-E72D297353CC}">
              <c16:uniqueId val="{00000000-7DFA-4C20-A957-F72F9EBF7D4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[Amazon_Sales_Dataset.xlsx]CITY WISE SALES!PivotTable3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CITY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1"/>
            </a:solidFill>
            <a:ln>
              <a:noFill/>
            </a:ln>
            <a:effectLst/>
          </c:spPr>
        </c:marker>
      </c:pivotFmt>
    </c:pivotFmts>
    <c:plotArea>
      <c:layout/>
      <c:lineChart>
        <c:grouping val="standard"/>
        <c:varyColors val="0"/>
        <c:ser>
          <c:idx val="0"/>
          <c:order val="0"/>
          <c:tx>
            <c:strRef>
              <c:f>'CITY WISE SALES'!$B$3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Pt>
            <c:idx val="8"/>
            <c:marker>
              <c:symbol val="circle"/>
              <c:size val="17"/>
              <c:spPr>
                <a:solidFill>
                  <a:schemeClr val="accent1"/>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2-4611-4426-8ADF-C3B6EE1613E3}"/>
              </c:ext>
            </c:extLst>
          </c:dPt>
          <c:cat>
            <c:strRef>
              <c:f>'CITY WISE SALES'!$A$4:$A$14</c:f>
              <c:strCache>
                <c:ptCount val="10"/>
                <c:pt idx="0">
                  <c:v>Ahmedabad</c:v>
                </c:pt>
                <c:pt idx="1">
                  <c:v>Bangalore</c:v>
                </c:pt>
                <c:pt idx="2">
                  <c:v>Bhubaneswar</c:v>
                </c:pt>
                <c:pt idx="3">
                  <c:v>Chennai</c:v>
                </c:pt>
                <c:pt idx="4">
                  <c:v>Hyderabad</c:v>
                </c:pt>
                <c:pt idx="5">
                  <c:v>Jaipur</c:v>
                </c:pt>
                <c:pt idx="6">
                  <c:v>Kolkata</c:v>
                </c:pt>
                <c:pt idx="7">
                  <c:v>Lucknow</c:v>
                </c:pt>
                <c:pt idx="8">
                  <c:v>Mumbai</c:v>
                </c:pt>
                <c:pt idx="9">
                  <c:v>New Delhi</c:v>
                </c:pt>
              </c:strCache>
            </c:strRef>
          </c:cat>
          <c:val>
            <c:numRef>
              <c:f>'CITY WISE SALES'!$B$4:$B$14</c:f>
              <c:numCache>
                <c:formatCode>"₹"\ #,##0.00</c:formatCode>
                <c:ptCount val="10"/>
                <c:pt idx="0">
                  <c:v>14400</c:v>
                </c:pt>
                <c:pt idx="1">
                  <c:v>8000</c:v>
                </c:pt>
                <c:pt idx="2">
                  <c:v>7500</c:v>
                </c:pt>
                <c:pt idx="3">
                  <c:v>9000</c:v>
                </c:pt>
                <c:pt idx="4">
                  <c:v>14000</c:v>
                </c:pt>
                <c:pt idx="5">
                  <c:v>18000</c:v>
                </c:pt>
                <c:pt idx="6">
                  <c:v>16000</c:v>
                </c:pt>
                <c:pt idx="7">
                  <c:v>10000</c:v>
                </c:pt>
                <c:pt idx="8">
                  <c:v>25000</c:v>
                </c:pt>
                <c:pt idx="9">
                  <c:v>12000</c:v>
                </c:pt>
              </c:numCache>
            </c:numRef>
          </c:val>
          <c:smooth val="0"/>
          <c:extLst>
            <c:ext xmlns:c16="http://schemas.microsoft.com/office/drawing/2014/chart" uri="{C3380CC4-5D6E-409C-BE32-E72D297353CC}">
              <c16:uniqueId val="{00000000-4611-4426-8ADF-C3B6EE1613E3}"/>
            </c:ext>
          </c:extLst>
        </c:ser>
        <c:dLbls>
          <c:showLegendKey val="0"/>
          <c:showVal val="0"/>
          <c:showCatName val="0"/>
          <c:showSerName val="0"/>
          <c:showPercent val="0"/>
          <c:showBubbleSize val="0"/>
        </c:dLbls>
        <c:marker val="1"/>
        <c:smooth val="0"/>
        <c:axId val="749147311"/>
        <c:axId val="749146831"/>
      </c:lineChart>
      <c:catAx>
        <c:axId val="74914731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r>
                  <a:rPr lang="en-US" sz="1000"/>
                  <a:t>CITY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49146831"/>
        <c:crosses val="autoZero"/>
        <c:auto val="1"/>
        <c:lblAlgn val="ctr"/>
        <c:lblOffset val="100"/>
        <c:noMultiLvlLbl val="0"/>
      </c:catAx>
      <c:valAx>
        <c:axId val="749146831"/>
        <c:scaling>
          <c:orientation val="minMax"/>
        </c:scaling>
        <c:delete val="1"/>
        <c:axPos val="l"/>
        <c:title>
          <c:tx>
            <c:rich>
              <a:bodyPr rot="-540000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r>
                  <a:rPr lang="en-US" sz="1000"/>
                  <a:t>SALES ANOUNT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title>
        <c:numFmt formatCode="&quot;₹&quot;\ #,##0.00" sourceLinked="1"/>
        <c:majorTickMark val="none"/>
        <c:minorTickMark val="none"/>
        <c:tickLblPos val="nextTo"/>
        <c:crossAx val="74914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a:outerShdw blurRad="50800" dist="38100" dir="2700000" algn="tl" rotWithShape="0">
        <a:schemeClr val="bg2">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[Amazon_Sales_Dataset.xlsx]PRODUCT WISE UNITS!PivotTable11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Units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WISE UNITS'!$B$3</c:f>
              <c:strCache>
                <c:ptCount val="1"/>
                <c:pt idx="0">
                  <c:v>Total</c:v>
                </c:pt>
              </c:strCache>
            </c:strRef>
          </c:tx>
          <c:spPr>
            <a:solidFill>
              <a:schemeClr val="accent1"/>
            </a:solidFill>
            <a:ln>
              <a:noFill/>
            </a:ln>
            <a:effectLst/>
          </c:spPr>
          <c:invertIfNegative val="0"/>
          <c:cat>
            <c:strRef>
              <c:f>'PRODUCT WISE UNITS'!$A$4:$A$14</c:f>
              <c:strCache>
                <c:ptCount val="10"/>
                <c:pt idx="0">
                  <c:v>Competitive Exam Book</c:v>
                </c:pt>
                <c:pt idx="1">
                  <c:v>Dry Fruits Pack</c:v>
                </c:pt>
                <c:pt idx="2">
                  <c:v>Women Kurti</c:v>
                </c:pt>
                <c:pt idx="3">
                  <c:v>Men T-Shirt</c:v>
                </c:pt>
                <c:pt idx="4">
                  <c:v>Headphones</c:v>
                </c:pt>
                <c:pt idx="5">
                  <c:v>Bluetooth Speaker</c:v>
                </c:pt>
                <c:pt idx="6">
                  <c:v>Skin Care Kit</c:v>
                </c:pt>
                <c:pt idx="7">
                  <c:v>Smart Watch</c:v>
                </c:pt>
                <c:pt idx="8">
                  <c:v>Mixer Grinder</c:v>
                </c:pt>
                <c:pt idx="9">
                  <c:v>Office Chair</c:v>
                </c:pt>
              </c:strCache>
            </c:strRef>
          </c:cat>
          <c:val>
            <c:numRef>
              <c:f>'PRODUCT WISE UNITS'!$B$4:$B$14</c:f>
              <c:numCache>
                <c:formatCode>General</c:formatCode>
                <c:ptCount val="10"/>
                <c:pt idx="0">
                  <c:v>20</c:v>
                </c:pt>
                <c:pt idx="1">
                  <c:v>15</c:v>
                </c:pt>
                <c:pt idx="2">
                  <c:v>12</c:v>
                </c:pt>
                <c:pt idx="3">
                  <c:v>10</c:v>
                </c:pt>
                <c:pt idx="4">
                  <c:v>8</c:v>
                </c:pt>
                <c:pt idx="5">
                  <c:v>7</c:v>
                </c:pt>
                <c:pt idx="6">
                  <c:v>6</c:v>
                </c:pt>
                <c:pt idx="7">
                  <c:v>5</c:v>
                </c:pt>
                <c:pt idx="8">
                  <c:v>3</c:v>
                </c:pt>
                <c:pt idx="9">
                  <c:v>2</c:v>
                </c:pt>
              </c:numCache>
            </c:numRef>
          </c:val>
          <c:extLst>
            <c:ext xmlns:c16="http://schemas.microsoft.com/office/drawing/2014/chart" uri="{C3380CC4-5D6E-409C-BE32-E72D297353CC}">
              <c16:uniqueId val="{00000000-82FD-4704-A2EC-AF6A1C0B61A6}"/>
            </c:ext>
          </c:extLst>
        </c:ser>
        <c:dLbls>
          <c:showLegendKey val="0"/>
          <c:showVal val="0"/>
          <c:showCatName val="0"/>
          <c:showSerName val="0"/>
          <c:showPercent val="0"/>
          <c:showBubbleSize val="0"/>
        </c:dLbls>
        <c:gapWidth val="182"/>
        <c:axId val="749145871"/>
        <c:axId val="1038183903"/>
      </c:barChart>
      <c:catAx>
        <c:axId val="749145871"/>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Product Nme</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183903"/>
        <c:crosses val="autoZero"/>
        <c:auto val="1"/>
        <c:lblAlgn val="ctr"/>
        <c:lblOffset val="100"/>
        <c:noMultiLvlLbl val="0"/>
      </c:catAx>
      <c:valAx>
        <c:axId val="1038183903"/>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Units sold</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14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Sales</a:t>
            </a:r>
          </a:p>
        </c:rich>
      </c:tx>
      <c:layout>
        <c:manualLayout>
          <c:xMode val="edge"/>
          <c:yMode val="edge"/>
          <c:x val="0.41359862166941225"/>
          <c:y val="2.366863905325443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37360728346456695"/>
          <c:y val="0.25677725118483413"/>
          <c:w val="0.24236917650918641"/>
          <c:h val="0.441088927865059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59-424C-B8C8-0E17784C96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59-424C-B8C8-0E17784C96B2}"/>
              </c:ext>
            </c:extLst>
          </c:dPt>
          <c:cat>
            <c:strRef>
              <c:f>KPIS!$A$7:$A$8</c:f>
              <c:strCache>
                <c:ptCount val="2"/>
                <c:pt idx="0">
                  <c:v>ACTUAL</c:v>
                </c:pt>
                <c:pt idx="1">
                  <c:v>TARGET</c:v>
                </c:pt>
              </c:strCache>
            </c:strRef>
          </c:cat>
          <c:val>
            <c:numRef>
              <c:f>KPIS!$B$7:$B$8</c:f>
              <c:numCache>
                <c:formatCode>0%</c:formatCode>
                <c:ptCount val="2"/>
                <c:pt idx="0">
                  <c:v>0.81151515151515152</c:v>
                </c:pt>
                <c:pt idx="1">
                  <c:v>0.18848484848484848</c:v>
                </c:pt>
              </c:numCache>
            </c:numRef>
          </c:val>
          <c:extLst>
            <c:ext xmlns:c16="http://schemas.microsoft.com/office/drawing/2014/chart" uri="{C3380CC4-5D6E-409C-BE32-E72D297353CC}">
              <c16:uniqueId val="{00000004-1A59-424C-B8C8-0E17784C96B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6.5603684069934123E-2"/>
          <c:y val="0.78317423592193158"/>
          <c:w val="0.87811398724673462"/>
          <c:h val="0.1599537261633765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0" baseline="0">
                <a:solidFill>
                  <a:schemeClr val="tx1"/>
                </a:solidFill>
                <a:latin typeface="+mn-lt"/>
                <a:ea typeface="+mn-ea"/>
                <a:cs typeface="+mn-cs"/>
              </a:defRPr>
            </a:pPr>
            <a:r>
              <a:rPr lang="en-US" sz="1600" b="1"/>
              <a:t>Unit</a:t>
            </a:r>
            <a:r>
              <a:rPr lang="en-US" sz="1600" b="1" baseline="0"/>
              <a:t> Sold</a:t>
            </a:r>
            <a:endParaRPr lang="en-US" sz="1600" b="1"/>
          </a:p>
        </c:rich>
      </c:tx>
      <c:layout>
        <c:manualLayout>
          <c:xMode val="edge"/>
          <c:yMode val="edge"/>
          <c:x val="0.33748448450053725"/>
          <c:y val="1.1904761904761904E-2"/>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34933004882769542"/>
          <c:y val="0.23985751781027373"/>
          <c:w val="0.25664716491444156"/>
          <c:h val="0.43752230971128608"/>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C6-4B14-88DB-77E15D99CC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C6-4B14-88DB-77E15D99CC88}"/>
              </c:ext>
            </c:extLst>
          </c:dPt>
          <c:cat>
            <c:strRef>
              <c:f>KPIS!$A$13:$A$14</c:f>
              <c:strCache>
                <c:ptCount val="2"/>
                <c:pt idx="0">
                  <c:v>ACTUAL</c:v>
                </c:pt>
                <c:pt idx="1">
                  <c:v>TARGET</c:v>
                </c:pt>
              </c:strCache>
            </c:strRef>
          </c:cat>
          <c:val>
            <c:numRef>
              <c:f>KPIS!$B$13:$B$14</c:f>
              <c:numCache>
                <c:formatCode>0%</c:formatCode>
                <c:ptCount val="2"/>
                <c:pt idx="0">
                  <c:v>0.91666666666666663</c:v>
                </c:pt>
                <c:pt idx="1">
                  <c:v>8.333333333333337E-2</c:v>
                </c:pt>
              </c:numCache>
            </c:numRef>
          </c:val>
          <c:extLst>
            <c:ext xmlns:c16="http://schemas.microsoft.com/office/drawing/2014/chart" uri="{C3380CC4-5D6E-409C-BE32-E72D297353CC}">
              <c16:uniqueId val="{00000004-31C6-4B14-88DB-77E15D99CC8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2">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tx2">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0800" dist="38100" dir="10800000" algn="r" rotWithShape="0">
        <a:schemeClr val="accent1">
          <a:lumMod val="75000"/>
          <a:alpha val="40000"/>
        </a:schemeClr>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 of cities</a:t>
            </a:r>
          </a:p>
        </c:rich>
      </c:tx>
      <c:layout>
        <c:manualLayout>
          <c:xMode val="edge"/>
          <c:yMode val="edge"/>
          <c:x val="0.33676522577534951"/>
          <c:y val="1.1764705882352941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34973497781803825"/>
          <c:y val="0.25646263556678056"/>
          <c:w val="0.26513181427542792"/>
          <c:h val="0.4239607784875946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4C-41B4-9DC9-85A4C34409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4C-41B4-9DC9-85A4C34409BF}"/>
              </c:ext>
            </c:extLst>
          </c:dPt>
          <c:cat>
            <c:strRef>
              <c:f>KPIS!$A$13:$A$14</c:f>
              <c:strCache>
                <c:ptCount val="2"/>
                <c:pt idx="0">
                  <c:v>ACTUAL</c:v>
                </c:pt>
                <c:pt idx="1">
                  <c:v>TARGET</c:v>
                </c:pt>
              </c:strCache>
            </c:strRef>
          </c:cat>
          <c:val>
            <c:numRef>
              <c:f>KPIS!$B$13:$B$14</c:f>
              <c:numCache>
                <c:formatCode>0%</c:formatCode>
                <c:ptCount val="2"/>
                <c:pt idx="0">
                  <c:v>0.91666666666666663</c:v>
                </c:pt>
                <c:pt idx="1">
                  <c:v>8.333333333333337E-2</c:v>
                </c:pt>
              </c:numCache>
            </c:numRef>
          </c:val>
          <c:extLst>
            <c:ext xmlns:c16="http://schemas.microsoft.com/office/drawing/2014/chart" uri="{C3380CC4-5D6E-409C-BE32-E72D297353CC}">
              <c16:uniqueId val="{00000004-F64C-41B4-9DC9-85A4C34409B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000">
          <a:schemeClr val="accent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38100" algn="l" rotWithShape="0">
        <a:schemeClr val="accent5">
          <a:lumMod val="60000"/>
          <a:lumOff val="40000"/>
          <a:alpha val="40000"/>
        </a:schemeClr>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[Amazon_Sales_Dataset.xlsx]CITY WISE SALES!PivotTable3</c:name>
    <c:fmtId val="16"/>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a:solidFill>
                  <a:schemeClr val="tx1"/>
                </a:solidFill>
              </a:rPr>
              <a:t>CITY WISE SALES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rgbClr val="00B050"/>
            </a:solidFill>
            <a:ln>
              <a:noFill/>
            </a:ln>
            <a:effectLst/>
          </c:spPr>
        </c:marker>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rgbClr val="00B050"/>
            </a:solidFill>
            <a:ln>
              <a:noFill/>
            </a:ln>
            <a:effectLst/>
          </c:spPr>
        </c:marker>
      </c:pivotFmt>
    </c:pivotFmts>
    <c:plotArea>
      <c:layout/>
      <c:lineChart>
        <c:grouping val="standard"/>
        <c:varyColors val="0"/>
        <c:ser>
          <c:idx val="0"/>
          <c:order val="0"/>
          <c:tx>
            <c:strRef>
              <c:f>'CITY WISE SALES'!$B$3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Pt>
            <c:idx val="8"/>
            <c:marker>
              <c:symbol val="circle"/>
              <c:size val="17"/>
              <c:spPr>
                <a:solidFill>
                  <a:srgbClr val="00B050"/>
                </a:solidFill>
                <a:ln>
                  <a:noFill/>
                </a:ln>
                <a:effectLst/>
              </c:spPr>
            </c:marker>
            <c:bubble3D val="0"/>
            <c:spPr>
              <a:ln w="31750" cap="rnd">
                <a:solidFill>
                  <a:schemeClr val="accent1"/>
                </a:solidFill>
                <a:round/>
              </a:ln>
              <a:effectLst/>
            </c:spPr>
            <c:extLst>
              <c:ext xmlns:c16="http://schemas.microsoft.com/office/drawing/2014/chart" uri="{C3380CC4-5D6E-409C-BE32-E72D297353CC}">
                <c16:uniqueId val="{00000000-A258-4C55-B844-3FCC0E8668F4}"/>
              </c:ext>
            </c:extLst>
          </c:dPt>
          <c:cat>
            <c:strRef>
              <c:f>'CITY WISE SALES'!$A$4:$A$14</c:f>
              <c:strCache>
                <c:ptCount val="10"/>
                <c:pt idx="0">
                  <c:v>Ahmedabad</c:v>
                </c:pt>
                <c:pt idx="1">
                  <c:v>Bangalore</c:v>
                </c:pt>
                <c:pt idx="2">
                  <c:v>Bhubaneswar</c:v>
                </c:pt>
                <c:pt idx="3">
                  <c:v>Chennai</c:v>
                </c:pt>
                <c:pt idx="4">
                  <c:v>Hyderabad</c:v>
                </c:pt>
                <c:pt idx="5">
                  <c:v>Jaipur</c:v>
                </c:pt>
                <c:pt idx="6">
                  <c:v>Kolkata</c:v>
                </c:pt>
                <c:pt idx="7">
                  <c:v>Lucknow</c:v>
                </c:pt>
                <c:pt idx="8">
                  <c:v>Mumbai</c:v>
                </c:pt>
                <c:pt idx="9">
                  <c:v>New Delhi</c:v>
                </c:pt>
              </c:strCache>
            </c:strRef>
          </c:cat>
          <c:val>
            <c:numRef>
              <c:f>'CITY WISE SALES'!$B$4:$B$14</c:f>
              <c:numCache>
                <c:formatCode>"₹"\ #,##0.00</c:formatCode>
                <c:ptCount val="10"/>
                <c:pt idx="0">
                  <c:v>14400</c:v>
                </c:pt>
                <c:pt idx="1">
                  <c:v>8000</c:v>
                </c:pt>
                <c:pt idx="2">
                  <c:v>7500</c:v>
                </c:pt>
                <c:pt idx="3">
                  <c:v>9000</c:v>
                </c:pt>
                <c:pt idx="4">
                  <c:v>14000</c:v>
                </c:pt>
                <c:pt idx="5">
                  <c:v>18000</c:v>
                </c:pt>
                <c:pt idx="6">
                  <c:v>16000</c:v>
                </c:pt>
                <c:pt idx="7">
                  <c:v>10000</c:v>
                </c:pt>
                <c:pt idx="8">
                  <c:v>25000</c:v>
                </c:pt>
                <c:pt idx="9">
                  <c:v>12000</c:v>
                </c:pt>
              </c:numCache>
            </c:numRef>
          </c:val>
          <c:smooth val="0"/>
          <c:extLst>
            <c:ext xmlns:c16="http://schemas.microsoft.com/office/drawing/2014/chart" uri="{C3380CC4-5D6E-409C-BE32-E72D297353CC}">
              <c16:uniqueId val="{00000001-A258-4C55-B844-3FCC0E8668F4}"/>
            </c:ext>
          </c:extLst>
        </c:ser>
        <c:dLbls>
          <c:showLegendKey val="0"/>
          <c:showVal val="0"/>
          <c:showCatName val="0"/>
          <c:showSerName val="0"/>
          <c:showPercent val="0"/>
          <c:showBubbleSize val="0"/>
        </c:dLbls>
        <c:marker val="1"/>
        <c:smooth val="0"/>
        <c:axId val="749147311"/>
        <c:axId val="749146831"/>
      </c:lineChart>
      <c:catAx>
        <c:axId val="749147311"/>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r>
                  <a:rPr lang="en-US" sz="1050" b="1"/>
                  <a:t>CITY</a:t>
                </a:r>
              </a:p>
            </c:rich>
          </c:tx>
          <c:layout>
            <c:manualLayout>
              <c:xMode val="edge"/>
              <c:yMode val="edge"/>
              <c:x val="0.45826621098748899"/>
              <c:y val="0.8224617667472417"/>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749146831"/>
        <c:crosses val="autoZero"/>
        <c:auto val="1"/>
        <c:lblAlgn val="ctr"/>
        <c:lblOffset val="100"/>
        <c:noMultiLvlLbl val="0"/>
      </c:catAx>
      <c:valAx>
        <c:axId val="749146831"/>
        <c:scaling>
          <c:orientation val="minMax"/>
        </c:scaling>
        <c:delete val="1"/>
        <c:axPos val="l"/>
        <c:title>
          <c:tx>
            <c:rich>
              <a:bodyPr rot="-540000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r>
                  <a:rPr lang="en-US" sz="1000"/>
                  <a:t>SALES ANOUNT</a:t>
                </a:r>
              </a:p>
            </c:rich>
          </c:tx>
          <c:layout>
            <c:manualLayout>
              <c:xMode val="edge"/>
              <c:yMode val="edge"/>
              <c:x val="4.9713193116634802E-2"/>
              <c:y val="0.1214288107603570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title>
        <c:numFmt formatCode="&quot;₹&quot;\ #,##0.00" sourceLinked="1"/>
        <c:majorTickMark val="none"/>
        <c:minorTickMark val="none"/>
        <c:tickLblPos val="nextTo"/>
        <c:crossAx val="74914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a:outerShdw blurRad="50800" dist="38100" dir="2700000" algn="tl" rotWithShape="0">
        <a:schemeClr val="bg2">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[Amazon_Sales_Dataset.xlsx]PRODUCT WISE UNITS!PivotTable11</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PRODUCT WISE UNITS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WISE UNITS'!$B$3</c:f>
              <c:strCache>
                <c:ptCount val="1"/>
                <c:pt idx="0">
                  <c:v>Total</c:v>
                </c:pt>
              </c:strCache>
            </c:strRef>
          </c:tx>
          <c:spPr>
            <a:solidFill>
              <a:schemeClr val="accent1"/>
            </a:solidFill>
            <a:ln>
              <a:noFill/>
            </a:ln>
            <a:effectLst/>
          </c:spPr>
          <c:invertIfNegative val="0"/>
          <c:cat>
            <c:strRef>
              <c:f>'PRODUCT WISE UNITS'!$A$4:$A$14</c:f>
              <c:strCache>
                <c:ptCount val="10"/>
                <c:pt idx="0">
                  <c:v>Competitive Exam Book</c:v>
                </c:pt>
                <c:pt idx="1">
                  <c:v>Dry Fruits Pack</c:v>
                </c:pt>
                <c:pt idx="2">
                  <c:v>Women Kurti</c:v>
                </c:pt>
                <c:pt idx="3">
                  <c:v>Men T-Shirt</c:v>
                </c:pt>
                <c:pt idx="4">
                  <c:v>Headphones</c:v>
                </c:pt>
                <c:pt idx="5">
                  <c:v>Bluetooth Speaker</c:v>
                </c:pt>
                <c:pt idx="6">
                  <c:v>Skin Care Kit</c:v>
                </c:pt>
                <c:pt idx="7">
                  <c:v>Smart Watch</c:v>
                </c:pt>
                <c:pt idx="8">
                  <c:v>Mixer Grinder</c:v>
                </c:pt>
                <c:pt idx="9">
                  <c:v>Office Chair</c:v>
                </c:pt>
              </c:strCache>
            </c:strRef>
          </c:cat>
          <c:val>
            <c:numRef>
              <c:f>'PRODUCT WISE UNITS'!$B$4:$B$14</c:f>
              <c:numCache>
                <c:formatCode>General</c:formatCode>
                <c:ptCount val="10"/>
                <c:pt idx="0">
                  <c:v>20</c:v>
                </c:pt>
                <c:pt idx="1">
                  <c:v>15</c:v>
                </c:pt>
                <c:pt idx="2">
                  <c:v>12</c:v>
                </c:pt>
                <c:pt idx="3">
                  <c:v>10</c:v>
                </c:pt>
                <c:pt idx="4">
                  <c:v>8</c:v>
                </c:pt>
                <c:pt idx="5">
                  <c:v>7</c:v>
                </c:pt>
                <c:pt idx="6">
                  <c:v>6</c:v>
                </c:pt>
                <c:pt idx="7">
                  <c:v>5</c:v>
                </c:pt>
                <c:pt idx="8">
                  <c:v>3</c:v>
                </c:pt>
                <c:pt idx="9">
                  <c:v>2</c:v>
                </c:pt>
              </c:numCache>
            </c:numRef>
          </c:val>
          <c:extLst>
            <c:ext xmlns:c16="http://schemas.microsoft.com/office/drawing/2014/chart" uri="{C3380CC4-5D6E-409C-BE32-E72D297353CC}">
              <c16:uniqueId val="{00000000-6605-4E90-9F06-E0B58F7E8A93}"/>
            </c:ext>
          </c:extLst>
        </c:ser>
        <c:dLbls>
          <c:showLegendKey val="0"/>
          <c:showVal val="0"/>
          <c:showCatName val="0"/>
          <c:showSerName val="0"/>
          <c:showPercent val="0"/>
          <c:showBubbleSize val="0"/>
        </c:dLbls>
        <c:gapWidth val="182"/>
        <c:axId val="749145871"/>
        <c:axId val="1038183903"/>
      </c:barChart>
      <c:catAx>
        <c:axId val="749145871"/>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Product Nme</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183903"/>
        <c:crosses val="autoZero"/>
        <c:auto val="1"/>
        <c:lblAlgn val="ctr"/>
        <c:lblOffset val="100"/>
        <c:noMultiLvlLbl val="0"/>
      </c:catAx>
      <c:valAx>
        <c:axId val="1038183903"/>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Units sold</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14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WISE SALES</cx:v>
        </cx:txData>
      </cx:tx>
    </cx:title>
    <cx:plotArea>
      <cx:plotAreaRegion>
        <cx:plotSurface>
          <cx:spPr>
            <a:noFill/>
            <a:ln>
              <a:noFill/>
            </a:ln>
          </cx:spPr>
        </cx:plotSurface>
        <cx:series layoutId="regionMap" uniqueId="{951EDE12-CA1D-4CC7-B587-36759678732D}">
          <cx:tx>
            <cx:txData>
              <cx:f>_xlchart.v5.2</cx:f>
              <cx:v>Sales Amount (₹)</cx:v>
            </cx:txData>
          </cx:tx>
          <cx:spPr>
            <a:gradFill>
              <a:gsLst>
                <a:gs pos="0">
                  <a:schemeClr val="accent5">
                    <a:lumMod val="60000"/>
                    <a:lumOff val="40000"/>
                    <a:alpha val="53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5">
                      <a:lumMod val="60000"/>
                      <a:lumOff val="40000"/>
                      <a:alpha val="53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dataId val="0"/>
          <cx:layoutPr>
            <cx:regionLabelLayout val="none"/>
            <cx:geography cultureLanguage="en-US" cultureRegion="IN" attribution="Powered by Bing">
              <cx:geoCache provider="{E9337A44-BEBE-4D9F-B70C-5C5E7DAFC167}">
                <cx:binary>1H1bc9220uVfcfl5qBB34NTJVzXcm6Ik3y+J47ywFFsmwTsBgrdfP71jJyPhSFYOKjU18Usq2trN
ZjdWd6Ox0Pr3p/Vfn5qba/NkbZvO/uvT+uPTcpqGf/3wg/1U3rTX9qzVn0xv+y/T2ae+/aH/8kV/
uvnhs7ledFf8gGNEf/hUXpvpZn36P/8GacVN/7z/dD3pvnvjbsz29sa6ZrLf+ezej5586l03nb5e
gKQfn152n/X10yc33aSn7f023Pz49M5vPH3ygy/nP575pAG1JvcZvovxGWFYEsrVt39PnzR9V3z7
WKgzwgmmBMVf/7E/Hv3yuoWvP6rN77pcf/5sbqx98u2/f37tjuJ//lTb/vD1nQ/9ScXLl7+/0w93
bfo///Z+AG/p/eSW2X2TPPYRqNrq7qjtZPSnCf349MU1+PbalpPxjH/nF/9L4yN1RhmOJWHqq3XR
XePzMxRLBeb/5hrP+H9Rp/tdcOfLd14CXvbi6QPL7v9L32SuAt9Mf6zMr6C480r/pV8AFFxhjgTF
9/oFnTElYo4Q++oY/sejv4LiL+hzv0/+/OId5X98ml39o/zx7Np019N1/XcihZ4JFFNMH/AIIIUL
hRghXz1C7nrkL2l0v09ufdXzyrP//Y/yyvGmKfUfZvkbMCLPOAVzx5zfixFxBvCgQjJ0L0Ye1eZ+
b3z7mueJ4/N/lCdefda2/BvBgeMzhkhMKeSRr//upBFJzyiWjJL4W5bx0sjj6tzviz++5znj1dt/
lDPeX7e6efLy+rP7+7CB0FmMOJRMUt7xhJBnNBYxjpn442FfM8ZfU+J+N9z+rueK91A5/YNqrPc3
zXVXXHd/IzSQOJNxzJlCnifUWRwrSRX7VlvBx19L6m8O+SuqPOCP//tV3x3ZP8odH27s9CS5AY80
fxjnb0gb5EwyRlhM5b2xSpwpgaDmhWD1Ryi77Ze/qNP9nrnzZc83H5J/lG/eXlfXdiqvu7/RM/yM
Sco4R9+KXnw3doHjACsxV98SupdF/pJG9/vl1lc9r7z9ZxW+P00TNBBem+vPN7b8Wz2jMGGw3/ha
acXojmckpH/Of9/Ff4WMV/z+Za3u9473dc9DP73+f4ubh7f4f3Y5jrD3SH9vj9za5X//09/fHBo2
3le/12X5GpUuP//4FCEw+J9Nl5OIO6nkTovkz9+/Afj++FSJM4qQIBARKYcNDFdPnywQdn98yuUZ
UlA7yxh6AxLHBHze9WYqf3xKxFksBOQ0DmAkUPPRp09s704f8TPBY0qUFFhQBC0d/Gcv6nXfbEXf
/WmHb///pHPt6153k/3xKcgZvv7WSc0IIyqoYEwB0odP12+hzQW/hP6Xzde8r7XiFyU6KvbKzoDS
P9//v5B7et4tuQrrmdtmFenEyqZM9n3bPpSYr1/7P1/bP/+FePDKbfGViOptWTuRlmY05u3C97h4
X6x7/+X76sPu/l6zQHy8LV+1ey1dnfNUYWb3NwNqVZyUpGIoiWnc4oSSccrPv/+wh3wA7r/9MAu+
r5ai4+lqiSSJjElhkn7j8tfvy4fC896Xie/KF2qMh0ptPHVooC8QWmj7bomrmD/f5NStWSR2bpJ2
Gwco9wOcL2Gl336hQcbDLE4PnBsl1qu+dLk7UOtKnX7/ASdB96zaU+l9+wFS70s8OcLSpbZiueIb
yfFhqC0un7O6rPAL5GpXH0Y7dptI4oai8TzuytlcfP/56GS6+xQ4mfrW8h5Ea2tmN5a6opjHg8Qy
EwR9GWoyLnUyFsvcJm4T0fN+KVCdOtz3skuiQuIW9rchNj6t3FsaNMXWzg1bwAQSswMx/RfBFv3I
+z2wIqUXFXpA6iK3iaXbZsUvcb/1ST676lWY6l5saGSluSWGpTXR+iaGPvzzLtK1O4SJ92JDHy1s
GEvG0mYS889oGWmy5rsIizzSiwymWaphwCNLpz7a9zReo9kc+dD3IlB9LxrgtUByayqIBj111WHj
fKXJOAKUjt+3zwOxjXvgadW8sMoVImsbO+ZvRduO7mcy7iq+mqJSiTeQWwi//P7DHlpJXuzB1RZ1
vR2irOs3wV9b6JZMP7fTFH0Jki+8UGNl7OJlZTLbe9SmW0Ejk6y6tuYRb5xW/D1AF56xVF/TxuEt
z/pI7u35YtAwp82yIX0cdUlV4GO8eEJon8tliEQ2TQ5PFx3vuzjdO9Ss6aCnZQ3DtfCCxtjPY07W
VmYDrvf3tdnKV53g6v33ffGQrbyosdSrRAvUOBmOVp021gjyvKBbP36omazXR0z1wIoSp5/fCnyl
LIZaikFmpqHbZdTu8StVINMk33+Jh8STu+L7XG8xGIdnTox4TeJqpR/53g9pmHgvfLhZ9EJCnzWb
G/DA1BRtSl0khkDtveDhNOm2ZqtkRu1cgw82uUaJjTe9Bz7Aw3OtIjaqFayvUDt2lwNi3ZKaSuzL
6yADnark2+4VeCMWRSvPlC31z0Ja+3rVxbiF6c89oInNQJsbenbZQOikL6adrCop63aJwyDGPYit
ehv5hI3IalsM9NK2eJZJ5ah5LDefIs89EYl7KNuKqojbBVw85ttgjlVBhHjdRvvMr4opb+t0LfDW
/dK0kvzqumLpHonkD9U83ANesxa56PcFQmEjm+GqjGwuoLKvFZR1cloqOiXdVO3zQZd8aM/rdS/E
kdOF9O/meOIu0MAeQLecR0LWUZ61InJHoheRSdGQR9YHOiHlPvPiu+uPzdOqRzyqjMS76dMd5fOU
snzfm4tBEbG9KmzbfxkiurQXdJcde7kSgrsXWEhZ/SJrzNgjqjwQibiHZdlVbOgXTbNB5JYc+K5u
hnVdxrA4yj0kN4ZwtK2VyEw0LFkxIdokBZHF5yAcMw/HDhkuq6qgWTGs8iOD7PbSxlEbFkbZCRy3
ksBIiq6KIqEy1sBO5uCQbPfEabPZR1bZAyg7NfFvP8DqcWN4NTKbtiXHl5IaE/+2DggQV+Iy7pNO
u6FN8M6H4tPQ7haHuYV58YMsXQOLyPCMy7x1yTBi2yabo1FgBGde/NjpXo+OG5G6kaGUb3Nx3Hkf
HcPc7gUJnqu4q8Z1z6wrpmzvRJVwM1SPxKAHIME87MMxTBmtUKpmFdbtAU+oOuZbjwMXlQd92PX0
Eul+zzDsG5O4RB+6gj5WSD6kuodmxIeOrk2xZ4XYphdu62JIz2OJqsB148G5rNw0ELPtWZS36hLP
a33MiaRZkFuph2YyzGyYapA+5ZgeFiJsYlukw3SnHpplh3c5C3BrNOHyUBM3J7wWNCyOUg/KVRyZ
eMntno1IN+dWdcVhZnQ//75lTrC5J19QD69dzsp9R9GSLRG7gW1nPZ/TqR66bFoED3wDD7JkFnNX
1fmSEQDuWzX1VYpoX4dtx6kH2amDUmjZ+ZL1cGJwKRVzx2rrAsMN9SCLprbJ5V65rLANfaabVrwY
1iZQdQ+xkKjzukZkysa+ytHBMGwPolzr8vh95z4AWuqBluWFraMd2jxDp9ereiqm5y7Pm0BQeZCF
/mg0I1dN58YVi31Hllg2r5iRvAxbN8RDbY30PBYzXqEkdPuhHtjHTW3dIwv/AdsQD7SsimoqZT6n
Y1OihFiHk1EpF6i6B1oyVBTnlZzB8tFHg6G+69Sah7mVeJith91EkeXfVKd4xAmbeajqPlqZzJ0s
0ZyqBZrG+CTdhhvm5I5blU8dz0PeWJC+Vqo8OFm7hHNcBZrdQ2tJmeyB0wDSKb4ZNW3OC10EdraI
h9Ya2LhSFyBc7a7NGqEM7Lz4GlYbnA5RbhtmnYjIm62eUzblS7KiGSdoyKewFEU8rLblgLuexC7t
5r1LllLfuGpHYVbHHk7tbqahLxeXtnVJE07Zx2i2OFC4h9M4Z4ZsZTSlYoy7o131tXW7DRTuwXS0
aq2gEnZpxVWZ8Eo3iTNYBEr3cCpIFRU6UqC6cuiFheOR17komrAjKuzhdHUUdxQkZzsCLniyd5Kz
YzRF0oatGexBFY+rat1QzNlG284kERlYNix4+hSUnLCHVaRzbPq1hcya2+ZKVRYdbV1taZh0fBdO
zuQDKTbmskmRX1GF31hK3oSJ9pFqt6rdtmjKdBm9hPD4ccMisH2HPZwqrVuBOjFl1VLKoyvZ+77O
+zCHIg+nXW0jo6RzWaQnfWgq8VzgMQ5b7CcS0+34BcfCy2BXGaVds37WG/qAWfssyODIQ6nUSxFB
vt4yEGunZMe25MlmSREWepGH07lgrqypmTLgLMS/0AniQGL1jsIqDeQB1Y0Njpu8d1nbm/3Yr+K3
Ug95oNk9kOZSj2LWxmVsM9uhbQdQvX7s5PUk5J7NwYk8cNunquNUD1E7ZXDar15IW6AXTZQPH8Lc
6kEUT3gycKcBlmOZlwlpl1+E1IEu9TC6015VeVm7zLCZJEiuH5tRvg7T28MoXei6aAKyo8q+p257
wah9ESQ69hDaL3leTKSY0jiPokNU5c/1Hgf2B2IPoQgNg9gjHKU8Vq/aTXyUZmvCQkvsQTQqoU43
PdikKbs3fdGf520ZFsljD510WDayQk897ff5wiz4GWVhGTT2gDlsbOL9AHs73hbPZb9mncnDjllj
D5a6mdbSOVB6aH/aZ3eoxM9hK8SDZKMqM+w1OJGW9W9mVW/kzsPiVOzh0Y1zvW4Ln7LNVuj9vk04
qxyxxzDFPUSSLl+7SqspsxFQCXBXX6hc/RIm20Nk3WjL4E5GlDIN1W0U82uqSFhiA17h3SAIC3sc
mxhScqn5mjBLo6NSYg4CDlUeKKWdxUTZHKUjf2f6o4QudohNqPIQWRblSMdymzIngcyxEDskaOTv
w4R7mFzg/H3butymqBwulgbO9kdSTUErBXjPdw1unIvrqAHhsmGviRs+abqZQKt4uFSUbfEolU1N
S14zkL26OVS2B020aEHIiqBtjEn83MmiuhrpygOt4qGztHRuoJ6FhcJ2nuxx9VPDy6ACiyoPm6ty
dKkVIH8l21QdYprz/oihAtJBoYUqD6DD0tIczmqmrKDDdbTMH+Dw4aegpeiTtWagZxtOwC7OFew4
ulonRGIRVEdAQ8hbi+UsoB+9guLr+tr18dU6j4EIlR5Cq1bEVJTEZrImLxogHKZSCBxmcekh1BUG
OJdunrJ4aN7QqDlUpgwqUqjPrjIs6raCtDbDmOHD0iJzQLT6EuZOD6AbnChY2U4WCAb8Y2HXKy3Y
uzDRHj5XM+W1xJHJNtQsSdOL8bxrqzBmBPWJVT1bOjUDfSeDI6T92O39S0Fs2LE/lR5A3YBtXaLF
ZD3QX5rEOhM9i+Z4extmGQ+eS0QgKlIHHp23zxYquNXK34JE+wSnCRJPOfDeZjUv3q7DcBm3bdg6
9LlNcy5rXjXUZPs8lum8FPgYNd2nML09cOqd5tastc1UORxqur1s5WNl5ymP/eeuivospiWCfvA8
CJOV7cxcYgSvXox8WJOlwm47hOnvJVFWd2tX98xkjSa/NiX9EA31+zDRHkRXYDw2XOQG8D/bi9ka
lKCZhh3VUeGhtMAl04ZgUJyiD+0cdQmNhp/DNPdz6DoOtYlLmzGs6ZLuxG006WRT1mFJWng4pWVR
SCcbWJJr9Ea3+L0ew/biVHgYbTQbYcMMovNNvZli/SonPOgYCsYr3E1yjdzydpw3k5G8xVkk8fQG
FYsOYvpSn6+JxRyzWcNKzON9SzYzZoQGEsaoz4dq1zyaVluarJuHOIlncT4uRVh3GG493LXLZKhz
VIHJITw+mzf8rGFrGIZ8FpRaisZVY2EykRddIvbtmTI67NyM+kwnBaskXnFtMtTPrwkan5t4CtTb
Q6fRcDrBl2jMLJcfNDJvmnoM2sRR7oEzX2lbF0NlMg6WSRSQ0JNxa2VYPPTZSBOpxqjq1QjnNuV4
MLh+4yIVVoL6VKQ4hn1Wx+IxKzRpq2SBRkXq4oiHGcanIlWVAlZatQFu1NYepOP8baPjPcyjPhVp
rhjPgWs3Zrsy+IAsfQmZNOz0nPo0JBd1smdrD8ulVzSuIdZutS0TqeY6qIcDJ/x3MQr03FgVawe2
L8pFHDponmV5TsewcwTq04222jlp2nzIZGTr8TAvQ/vFKbEEbhoZvas/anFMFxUNmSk3e2wLXiVg
IXYelPB8wpEQ6yrjOR4y13B8iDnwygnsfpMw6R5ipwYYeJZ0Q2apKKYE7bi+rre1KwLle9l01Yab
ZQXb9GXVJ3pqf1obFJbzmJ9Ocb+0kXBg904OF5uN7fnS9OVFkGV8vtFMZrINzTJkVc72D3GfFxcw
f2KowwzjE44IxEmGN3Cr6vLRngsHQ5MSlvd8DHyAV/3CYVzdd8MMlid2uTRG/lSOTVhvnvqUI1G3
GDjGZsgEnd7pwr5Z6uldmN29qrfIt4U0TTFmolO/dv2CkhJGUQQaxYPqCC1zGbl2yIip5K9wNXy9
cHU7By4ZL7NOcbRuO2F9BkhVCQfqSxJtkUjDDIPvhhmzRXBG34B0Nm8uYWi4qrvHWEy/l6D3bGh8
mtGoV6DXSdxnM6+LPIHT4gqCjdBrfShaVdQX7bAt71xrm0tiScSzqSxH9h6uuInxNfT/rHmnRMsv
ajiX7C+quqM8EY2GZnyxjjJekp1Wo/lpGXHkDvE2dvV1X5bReOBQWOIjYtBrT8XgVndsEHTJDhxO
qddLN0ayyrBYS3qZ99WyHVAM3YRfImD2bueIVFYciVhB5tLoaT8vRlVauG2Hd3feYrzuRzu3pPt1
FZTmryfKo+o3i9g4ZnLHas7MCu97HKadpVU8M3noBEb1gW+icBcF6gv1nMsO7oXF447fYamWZMbc
XA7amj2LeyW386VtZnqcDS1YOouFQgu7KWd6KJqh7aGeVWo7SKOJSNpeG/Rs6fJKXTYETTTbwdrL
gZF6vtz3qH1pujmmRxrP855Uucn3dw2qehFWhVAvYLYrdbx2pM84K3vo+kQJLogKg5bP9CI036CQ
bIas5O1NTut3udBhevs8rxlOYtYGg97M5ZlVzVXOUFhzkHhRks3ATEHQQcqwUmuSR6pOVIP6QJt4
lY2JC8JrOLTLClxVyVqPX3hlwoo+4sXJCq63zp2I+8xtbngJF7T0RU+mNiyUES9QllzHrsPcZoWp
6XMK9Ssw/930MSiUES9QmraY53mY+6yWhfvZyHGHZn4np0Cze5Fy7PQE10RUnyloKicMV8/LvQi7
/AWjCu+G4RggzKgc+mzrh7w99vFSZesY68Bdjk/zQp1Ge0RgRfKiZWuKbef2RESsHo9BxvepXlM7
LnlUTn0GB1VfloFesciG3eiAOVB3jTO4xczjJvqsjBXwyCYr1uZAVIW/hOnuwXVm405mh4esGdUu
E9GPBM7YJcZhXAyKPcQuQ9egeC2gQIAJnIkTS5VqrQMLBJ/vNYglr/YCUjic0ZgDMMr4YYiWOAsz
jofZJYar0kx3PVx0bZorTmY2JXw0PIzfT322l626AohMPYThzomrsiPxr7Cn3cJawdgDrVjbcW8t
1KvQylovc5q7TMSTCFz0HmoxaZzSp+xU6bY42GUsEje1bVjA8SlfyKDVrbBPzqKtIzclsM1v9ta1
YcxP6pO+GCZdVVb1kDEu5uiyVh06xPmysEfODh+4V0d94hdcN81z3sgu2xtEzPuh1nN/yEWHh+Ni
++g9XDh7GUWqqY5QxdXqUCjYjJ6XEWN9mPd9fhjc0+Wxq6D+XLaxlIeorWAARVt2QxO2jfYJYjwm
O+xZTpEpn1D+rNUF3Dvbxm2Kw7pTPkVsj52BG6+4ywhBuk7WpVpoUtV0DiywkAdvbvfWdBgesDkM
tOXdfQD2/qeg0OGzxJqp3Sbl9i4bTGcPa0G+7BMLVdxDdjHuyNpatBnUtucNrq8wtmEtgN+vUN6i
ordRFBcLTBDJJjrbQx1ROGpY9rdhRvHK5alsTIGWuctyZ2TqSlwkLdOBqdLniS0C5i934NFMmzX6
ra0W8slEkG6CdPeJYraiXU871GZQa70U8/6sGYtHZrmc1ts9W0WfJ1ascM7ITd9ldsXlFWqMTGCW
9BKWxHyq2FJzLeeatBmpZV8klZTjVSlcV4bB1CeMUbX2hHdxmwnWVYdRyYuaoi0sD/iUMTN0RZEr
3WWKlstza1p6EFM1v/m+T0+V/X2G96pmtdTbvCDI781ORyj5Y1uotIlR36ccdnVdUI1FfO4OTP/I
82EyTbYb8Rts1F+0ovzw/Te4f+mQ0yip22RUOsdwNAjXseCGYJ9XyWjdfLOQMWz0AFGegTTUyl2Z
d02mBplDd8fKy5YzFwQpAsOu7ijf48qtuwHl86KEPT7CQwIjJcLCAfH5O4rvYmMWmh1omdB27DQc
/h6qrqvmsJ2uTw2UG88lJ0WfxY5MQwJ+qE4RM1b9McS59DQ27rZz20jbcVYaQg7D79wUvy1QHmR6
GnuRGGaGTDI2oDs0TdlRGzih2R3qglALI53vKt5BjIlqIHumSJj87bxFw7uuZGGX1GBY2l3pje6Q
i7FtTqlVvhlawrJJMxlkdOJTBAdoGsV5e1ryJTSb+lG+iWihAw3jbYbcNnWb23QDxA+YzHWAO6Xj
x71R/Rwo33OrnJd8gMq2yVDJt6Ms4vh1D/f53oasRzgTuWv4jWvocC1jdCxQsfZXVYzilxgPzD0C
qN87Lf8Zj4lPLIN51Xjl3EE04461r0aEOneh63k057ARc/gcZulxexxZs/bPow12Bc8HUY3tR4wI
PXcc75eCRhtL1J47mK6wRXX9qu3Yig/tOG76sBdlvv/W55t2590AOffgWLV+Ii2lz+ahmq42Xc7n
JHcLiIAZGGUSt5ru70sE91ve1Kc5Fe87LQd7hA0b3eFTsxzKGJifL6uhjPYj/LbVLwjO+zmokCQ+
IQ54jSM+XUhOixxVL2dVq+dY4yIswRKfEtdHNeuhO1pneI1vOB7fKFS8Dlsup6x7q5SEvebWRnyp
M7IDz7bB9BL39rFBGifE3LdUvMTnXNQWu13rbBxgVselsXuzHNUGrIfjAjuE4pIr3pQfw97ES4No
VIzTmdVZNEQ8pfXSnO9DU/wUJh3ftVO55Q72iKTO5p6WxyjfP0wVfsxOJ2PfZycvh6C40K42rs54
4/Q7YFXTV7Is1uu1QtEjnc2HHuEFnThXosDDWKd2JTU/ltNoRp3MBprtl3qBG22PbKofcLnPmgN6
QuFm3hQp/PGTuj53bEXADouaVLe7xAdgdId1lYhPoitK6J3kpgGjdTgCohv/AIEosKYSXsctgoEj
0Ajo6gzBcdxElvOJoEcC9AOe8El0ggCXc4c7uMe6GMV0qRrLznup4NyfF3MTB7ELiDg9/RauGcjm
WosIxnTAIEG46178okYRdrWV+KPA7KZGrTdTZUKw6Rw41zLJSxS2WSE+kW7W0IokDpWZppKeD/PW
HqXSQfs4Ijwgx3xATSOa/IhmfRXnJKE9D7S5B+ONxI3tJxC97zTN1Xjeahy0PyQ+h26DQWjaqjo/
1ho/Eyx6NvKwLh7xOXRAKzwNwtX5caiW8aqydsoiRt4FhU2fQpczUc4biWCxo8Kmw2BosqmGnodJ
91Aaq9rkLI50JrQdngHr9cNYbGHDYYnPoSu4KKIZO501G27OnZq6i3hswqioxKfRRdsK5ymt0Zmu
qvE4lPJ5JIxNw+zi5d21ikdnSa+OU0v1eo7x8tNg6jqsqQh/uupubCl7NY0N7dSxm8eXddNnlenD
krhPpdvKdS3aAgqpZnI66VwXH/aGPRJ5T69/T5r1mXQzsPN3uOEHILJznwBr7DBwmCgcZnMvwe4w
pMfO06Dh1lK7Hbpi6MckN50KI6TBQOq7RlftBncuaqbgolW/40Q2uXnWr7UOuwdJfDad413eiZGo
Y7vscGb7BlgAj1jm91btPXb3uXSU7wiGUxVlhraIzM9i3TK4YFTALM/3MCmpzzRTO0nEOLcs5dBd
Ww7jVLMZJmQOfDsfnYrHdB9Qga9bwfCc5ZJoEdSBJ9TLk42ayE4ks6kWqzln+QQzhaM67FyN+BN+
yILJ3tSTTcnSlsCymN7Dlcr1Ebs+sJx9AuEajQhGhkynnZ6ZiktNYunS0ta2OwYtaZ9B2Gk9cYlK
cVxNySG2bpXrDiWM0Cdh2yafQmim2u1zPrjU9eWQtpIux0HRoCY58RmEUG0yMpDWpeg0smxhI1wy
pyKIGg5/FuAuGgcxU5tPIHx2MHa6sXRM+gaH0RMJ8woJWjq4yO86l+IKDQdSoyqB/t5vYV71AlVf
S/hjLiSf0hmXbSKjCO6erTQOS8k+f7AAmmxMIzKlPZCCkr42xctGkOnnIN19+iBdhoEgPk5ppODA
htZ7keqNhRnGH1emzYJ6OEOeUhiviV937Vr/xuNdhFVwPndwZ+UyTm62adfx5gBDt2GYDc3DBrYQ
f9iXW0YYmSU2m24C7Ukd1+Yg6sBahXqLndWOR2QE1fcWxrUs0/YlNmXYXULiU/CifWjHvCEuLeD2
zFEtZXmAoBZ2eE987tcO1yByPUNhJQb8m23Ju7bEYder4a+03Y0BZQu9x36gLtWxiZN1wHma50Cj
+/5Sf2Cb6LO/GlSPuO6JPOd5w+bXpWt1e75x3JhzagbIgt9/zANJxGeC5TPJKargJeDvl0bHGbPi
0K0ujAlG/HlfQ5mLaeIgvSg6fZRAAzuofvscprqXuusKMAV8RpMO67AddDtWR9vmYdnDZ4KpgcZT
y5hJ59rN520pcQIDjPew9OEzwbYWthu7WUw6lXtzjmz9044qFuhSD6572dK9h15POshSHNpmrQ5A
SQ2j/cOp/t1V34lNTELmQxq1kTlU+9AlZNjCJjfBDei70nNKG4MqPqR6GsvDztrmIGFyfVhB43PA
HNqg5WwKeV5V3f5+j4f15yruHhsl/wCUfBZYTpYFOSArp8wguI9yytoDRo/1CB+S7u114S/cQLt6
U+qcRtA6n6NPfdO9DwKSz/6qEUY5/P0McQ5zvvImmXdgJ07lan8JE+/hFDU96ffY/B/Ovmw5chzL
8lfa8rlZDS7Yxrr6gaS73LVLEVIsL7RYlOBOEAAJgl8/x6t7Zjo1lVVtYZkvEQq5KJIA7j33LPJI
9TCCgNturL5lcT+KX1ur7+2+tBULSmEtj9LGeSuT6578YjnznvwFI67ZhQQfPWQ4/i58iPHXCInp
e+YX8hmaquazPO4X66POx1mR1cLnv3bT3y3TlvS128OUlXDhOo1GPxL2a26C6XvaF6EgFaXDkJUM
9Id2jG6zsXn6pav+/yhfsBGqTTpmZcKWIb7KdA/dde2H5eXXPv/dVHLU8dz2y8SP2RRvsFDPbHZ9
ker9Mz/By2L8O53uez5XE3U6E75ix0FH9uSqdR3uLSdKHaBT5dVZDbuv79xe/Q+a67/1e3/vh16g
+P8G9fKQVOPazj16v82PWxH3TZ/oQ9dh1fXHutq6Pp+nAXE1+ZjOONu3NpiRn6des3o4orFuuyHv
924N57oKUfUtTT1odyMBpbXL0zbs3ucocvR827FY6LvVVj5m5y3K+NzlZu9V1OQklU2qcuO4RiE0
MTy6nMp5Ut+0qYclzrOON8M53TvYPZcBDT1XZZhXb4oupO32ARZyfm1y2iHiBzbfodnsmMdyiViW
ywBr+O4U647B+n4AZumGHLqCfsEFWj6NLzoZ0A20vBW/D3rAX5tlztaSge6b5gvuUFesq0+aqz0s
GzOokVM7fpsA2vIl30xMYp9TwVT9ZWyyTv4Y1IKgHwg598kMOdy+2vD5QtI76X0IWz7CNMoW3jc2
7koO4WR12DGySQ5RUm22qATeNFmszAc6lMm6U3ITi5XJY0OXfYAubJ7CCSkBY8GZXtldS5ZGlKRJ
fVrUnM2owsQgSjHAADffZsXmEfzNdqpV6SSaZl4AIdnUhCubR8NzkTAO3cjaXFUZR9mIvYQNyzWe
1lQ3uRGo7HIZR/1QLsOYfJ3dwEof9o3/WJo9pEdtJtrd7yYR7LWeE87vU1el6e1e1WJRZb9Do5Id
pV9iOCLsjC/9HRQaAs9LN43GxSmyS7UcCVyNUY0NZNq7U2Dp5r/PYmgmVUwrwOAzhwJJfow3vtlQ
9GOGJDEloosNZL/0o4+gYtlB2oKDDl/W5RDwLKfpnFAAacmZdaOo84518si6eiwmtvnBAJIIkV0v
leVqb8hiu4M32KPu2aSW9uO2JWoUeB2mZDm2KbVbMak6S+ASW4e+RF9Tiy/CpeN0I7cdIFBNybKZ
3GsHMD+XgvIEFZRzaZoWEuHY7VPcCcOOMFjptpsx8TFQbeLgrbZjzOxWBe0WCZY5MDkZTNZIv3xP
+giaGbPyTH/gdIhFWVeWtt/R+4gei2bIprW0LZ3sfbcQxT6CnjUPxzZwyITkRCZ6vdMo6W7j2nf7
z2bspwWKGRNN2f2MRVsfRl2H5KyHuJ0/1dEgSILtrVOM5nzIpL4nznXx96ytKhHySslBXXm/rvSa
mCabPreeBVrA855Aja58GktYO1PW/6icV53Ku7kT32nKZv0J6vK9LjBdwtkFnccU7sDqswLfPEXZ
j6k1634eEh3Cx24ncVzoGivpR5vhNT+pLtnvnSTqSJJZtA/CLJwdiGh0/Tx39bY/egg8kgiTaPgG
iPLiRMzO1rtx/L3D5Ka+admchqtpavvqak5kbG6WWfKkaLM0S74IlmTyZ+y76h4S8ugaY6T9B6Qt
Q956qkoFg6Co3Jpd+GtkSKz7CeZB6edeNpksdQ+l4xMPdT/ex6pq4rOfmiUcorlut5MMhrArzraO
fCKs6qrnepZKFzq4CJ6ILZEWIpqBIchv3S01d5bsjpxTzXT/guCOanpYEHhfH0ndTbx0W7ti7/RU
mPoI/nRs7ma5sh89PAHGogLu5h/qjRhsJfW0+QOjkzOqJJhWrTddC4PjY6UWDXlNxFf1sRZWZudB
a81yV0WGfa9r2epCjbZzbS7GuCLIHsrS7Wz7wbrS+YREpbNjEudjv3v9JXUSV1BSomLYGW64iiZS
1uTtFtnxMF4seXIY2u3d/ewhTDtQbfzXhATPEK+mEBVZIAqC3aFcUm8VljAv2r5OhoINnk6fwox8
RhgcDQMsz/K02/fm7B1Ush8D8ulMldez4xv2+137acpbh2Pa50C8V/vDL2tKXxHBYXAgdHCrkc89
PuXyILVbzAEhjph0HkafDDSH9nOkVz0CVrvDuqq0D7mKndhv/GYVUIsNyVLyRKqAGhFKtro+W6Ss
Rflumib6wGhnkrLO2BKVlqyxLHnY9/bVkD1tT6vbvbxahimqytknVbhNEd71SGLbNh+AIiehy5u+
d/II13jlrmWHDuY+AFcSx6xrcN65qqIzeN5Zvd0OirRdMe0mdkWmDY+gWzC2ajzUc7uNnx3pBogx
xsy5x2YjPDlNGBm39xOc7po5X0OGAB34iuezNzI+x6m07oHaORq/Jc0m+lvWpxbv2FgPff0z7cWO
N2GAZZs9TEo06xG/2dYe6NBl9oV1a11dW9W06RkiWtbfLSZB5tYB21HPSkQlpdXbDqtkeJrbuqUn
OzVKgdsMBRbeEQEfpeu6dUGfdDuk4Awn4BCTg9VIPcxXF8bkA36meF3j2m1fe5jGQ5Muk3rKihn2
i6qIsD9VxVbp7UObMJeehNTQutBxBFl1WI2IiqAXh0g5M/kNApKVxwUGCqJ+xOVS+rD5oJpTNCYZ
JkdN1UXLx2HYp/Ea1N16R1U07tsPnBp27OCRSkj8dJnUpKRI65nvdzuR2WCxE++hOosWjx5GswyB
Y7ceG/L8gPQLa87E1dKdNsckvZzcWw1PAIXbaG3uJFY5gV+d2hdVzI0P4SmVWy9zBJkJduTZgP0t
71LfmgfiYjF/243VWZv3bt3oOSBbfrvP8PbXn1u7IYIGv2Q6VQ8d4DD/LDrcxOs9ac1WjulC3Qnn
f6QVbm4yrAe/c+4Viic37XiYRq3H1XfR8MLj4IbHFfdsvZ5b8Acf2rWpmyJr68l+3jRP6Jch4UEM
ORzCyKhxp9Je/RzhmUoe4VqfyW8TnFe6r3M/dwn6KxgipsXQJi0/DdzZgPqtJoJN+RwtAUdhv+H4
QLUHy1gW0ZWXFiYNUwBtlEff4SofsoLgUG/P+zJ3H/mC9/vQEd+zotl2zF8GPmafaAJeRJEGUbUF
etGMIxFx4stV0nPK1jzdyDDf63quITmOYd951LLtp7t00D7qcwYF1rd2mt12pHGTrQ/xSAz8dzFn
lR8zMfr6uPZIynmckzr9LCxSXkqbVYACRBM5dh9GXfEjMa1PHjB/SsfnvuN2v4nbcZ6wYWZYG6DF
g6gmrjqYqJq7auil3gqRZeoxgPkSFRtrhvXZ7n6GIBq618QXsDGsuoLLuNEPnQXGlNeD6udDGqCr
7Y+QqMUHUaXjWBpSJXgSTd3Hd9miL0muzF6KHwG2b60KKVaalMMyk3jJu30Ln1rRwzUp3weoFj9q
iNvSV2XZdGvGBRVXUas2KuIWrnChwO6+5tyz1H1KFtgenBTzGuc93wjK9BQCXu3ykGaROze4BPK0
TKPjRULZXHahXsarbsNS/0KJ8esx4V0fI5nEwPIszppUlGkPHmlu03g/ShxG3uWGVq29X0CdkmMx
sIH3t52twoMIlwDU3ezpjRWiIweBBJsNxyhKjtLsGbZ936+ROndspO7j0lfx+jyaJS4waJiTr6Gv
/FpUvs5OKNeQmtlBRTNh6pabra1PtdMw1sigq8Zhmxb77qTOJ4QhsdIZkpwU6oFPfuDpjYKV0pAz
2c62qOOEKXi26iSfpqxl18Kr8DOD+qe9S7B0hqu9tbu8m6PEPBIPi1e0QKm7VUwkO2qnODOPa6TB
JHcbLxhk5HcYikCsjfDSFG7kkCHfBSOSl8lH6tAlLevyYdjczdr18kF5OOiXHV7jgm6LL5K6ak5Z
lsnbhalwreKt/xrU2n6QaW+KhrCnnprhhbZylLki2oJ2svRdN+cbaaS3uUK1G44B6XHhxNZEvbJ4
09euDUKWeJ1ZMezLvh1H09LrAPpi9uIjwT+o3oO1UCZu5NGpGvjq+7zCmysgkw81+dm4KrgXShkL
+doMmwCVM159KJuLH8C5D9sO2xRh4qCRrDvPNkEf06RTWyq2xtH1GmdQY0NW6sm1qeNK3ttos+64
QudPXnfWJ6yQIVvdzZJpqr6ich3mA3VJlJx0o5vstt3WHmGvalz73MfaiNd06TV5mNMl1QfYNIQR
lgSW1ecpWmX/JaqRJdwWNDS0KYlta5cvtEEpKt3Cm8L0qFF8XqVRmvZ5oGFpfmyCpvPtuk3r/h2h
VB7lUO0ExdvdY21RnbcQDLUHuOhUyZURfdM+bTF6/8M0ZulwdBz7TomORvHzfKHfHWY+JOkDRDUt
vQF/No3LWG5UnmPIprbfG+gDhofFOqFJEaRa62s725SwHIYiAjPGvU368ITWmCfogkHZ3G+s7S32
hXrkPr7TA5bkhw7Nqv/S0U6eswlzptQOnn+JbdpFXwdMKdEmbxNFCCJA6LrA24FiKa+WFbu7NctW
roMy4hODpt+9Co+9/bO1s0zakvI5wnlVjTRaPzC/t5vKoyThae5cZYZCVmmf3NtdbOH3DHL//qdp
oGY7iBZJgs+hrzcJwwE6mUdkPNNuO4wr3F2vZBMl0yPDKsOOSFIzC2xP9cYBFtYjZM2nNiW1P6Vd
3ZGhzHaDEiDvGWMKNvAT+g9UfO1chFVfahHEuDj/1DpjlL+SnerMa2+jaT1ObeTk2Vq5UDyxXXpT
zkm/rV87SaFFYnUn7Vfnu3k9akWGqJDdEt80s6pYMWOa7G5D22YKj4Q3EANaoOyF0euMonRmsJN5
XXa45EIgPVe3k0rmK19t4nlOk+BQHdB91w+h7/vcIK4zhyhMLSnyxUQ7HYMXNBQKCafLeU8tGrRa
Ljy3zk+Rzt3ivH3isef17yuiTcRh7wipS+Yv52quLDImThXK7NsG1lx469J4SK+rFpGpN1qF6ZMU
uAll6lwW9zlpwBt4tf3eRqhSA4muth3v9RXqgJhfOxwB7Tfv0+YKLUAsv0ywOOd1QaUizbNeaV3D
EjoeWLPkeMloWgjsqgHdXATh3M7ruLkXrSd7YbDgX7qYDoe+atiIpVYt1xMBgnEHvCKlj2LcWHft
VyO/A4n5jNLDJQyRKgwU8AkZMcnzmKjqK/ws2qZUAzbFpjXdnXMEldkOgxF/7rmoC70HBI6A/09O
DTdpfze71PZ3plrszaL11H5DQLR7i+bO2nJbIjzGbOOv3ZJdhjudwNm+Zf6VoZZwpdpn1OrgNbkt
7z0fjhArS5a32ivUBhhVrgi7ExvwWuyEFviOa+895AhIYBQXpAfCb/PaoRjLEwoG+hlQurS36Szm
6DHlIPGBFMRHtZ5XppTr8VCWQCwU3VXbHDaSipYfWsGaJzUjG/4QQ+Yw/76tSbcWUQ3k6iu8GhBQ
a6iw2WGsk5Dg1WySD6ZBP3IVxtbmSYsNVOfrYpBip5Kl/iHoYJPX1C/1WoTBxuh2eNavW96uoo++
NE1cfReX0uQkNqjMXwLTb67rXYZyV84xitkh65aTRCaIKCQzw9tEsWRzgciOArEgJDv0MhN/A/+6
dMdNCOIAf8sqQyuDUPXjlnDPP2sVSeiPG1kBGYzkAGckq2FRUKIoGfw1ZdP0o++3NMY+l9Xt+Aqn
NtkWial9empdFn6idVb7jemT6m2o+11S5H+HNbkdap/NL1FFGH2LEZlBf6K1rIGMtIreysl02DtI
HYpExbN/NLLiGlIjzJYyxRR5bCLGgGaj9CA31MNQ9ChXw5JycztJDytb7Zr3w7J9gCdynH3SRq5P
UZTZT6Li8QsIFG6/miqoRU7RhMZ464dtPbBMwNB3b1f9Cfe8uxnjDrQ21iKAGx4n2XSeainngupx
8LmOqu4zlLpbPlOofLTOPLsxm44eOfPbHZN7LY5TBeuFQ0/DdjUjVuIq1j05Z4hJxp43pva1loqG
B60mqIfXFX4/OZ2Xyn3wCyxev8JABM2ZDT6rPwMaTnnO1oD7kPi2xbYg0zidUHFw6I8FcS/1xlAk
poASlEKV0dII9rB8j0oDGjw9UKGAm3jEqyOnhJu9uUo00a+wX2+750RMEIFvSGB4bnAhedqssV4K
bNvB+dwAG0sfdFfzrEg1Ludlmio/Hdu5ausiybj23y9c1/M09sNws3G+9/gZXWSfuzjz/UOquEfB
Fpr0KISOphMolNw/AYoeD9gmxvFoKG1tmdRrH4Muh2DYw+QJNhH4Y1zjWQCOqDSdNNptD9LyGoJ7
tlHdrsVIl7i/jqJ12K9gP7b/jChik/Ie0ZA3ap82LJ9K4HZ0nhw6mS3FPDt/nU4xCs66GW+Crukz
2MszFALwdwTOAaOGNOPV52gHnfwooJAJL8CZthUHkSXxTyeMSjgycLod8IDtFz2eR0womq/1Ptuh
wJOC4F10NSpz7Jj9OhT1XGn4l8O8SN7BIk3wQnqml/M2ZbO44ojlRjRqtTLR5BGF7eHRy/SyCKN2
VQrpijM6Jmw+XdnuVvqzgyhD5sm0uR7LGPOutwVnZ3XWxhFVrnDUJmBiDkkWv04ZKrRy9dLUBc9W
Bq2PY6F7bRhsakoCv/nmcw9AI8uHcanrF7Lt2D1UFLH4mvF4oMUgkz4pJ6BhazGNK6CtHCKoTZUt
VGjkIdOzEU8IBGnWPMAFWh+WUNEpD8meoYKROnY/IoNUhZxC6iGfkGWz8qs6aM9/MPxS/pNFgcpu
qY17XmQ975LHXnkC02SNpqBu7DA8Bwj4u2PSWjKEnEJsvwLArMddoVF3gBzwUm8oChGbXs3Iupa2
uqsn0uznOCPbeCc1cNqc6dTDL13X5o3QtKnvk70aQe6pSDeeFrFGySMEdpxhTZl095j/jEEfkd/o
zRF0MT0UmKrQ5fvoBxshIHF34hz1gFM+k364PCGGxqeMjdQtVItowIb7BfhhV0Bf4eySw4slTm4I
SyiaS+qi8dSAZ7F+90mQtqwYq9yVx37tS0O17g59moq5TJBI47p8NkOoj+gGe3lTZbBfA/myv8SD
IS1tKtu6kdt15QgXBXQiStISTgwEC6qpBsyzMQqd1DVbt3RHzeJ0dgJIMGFaP6O2y4HDxl0OZeHe
ljNeg/6YbUs8v/GGdn2E3iHOXIq8W5iY/K67oYeeq8OEzOEwHVAnZkXUG3nFEp2E7dzFIhWv8Iwe
3K1Ha79p/OJN1maoQbZ0eqC86bdPEX4bGeV17NJpOV7crNGQrmJfs/vl0kHfVNHUbSi+wJeFwVSo
lHoIQ2zRrJglZVjgWQfMiheYtVB0q8QOcvzRBHTXIMgFPpA349ZoRjHAKRqmyUFuuyKtZjLXVk6L
eKDYPBRKRdHuP7sa04ivbeun7pipbIw87q5OR2QxM9M8ZSj3sZYTyTN61CiN5rdaZ9SL3MUSbs2e
Z4v4GAOfaxD/AvzffZcmW7pXHS1T9DgpDHye1kujCseCIPqk4OsMX2PI5rTpz/WAuRdekkynR8PR
+LADchSX+QYKQEV9sWOGNKHTbQxveEkoc+LGa0ySblFdC3aLsiizH8a+7cw1V6mfztGCrPSvKSEV
KdilZjsu0xAtec8TH91OBO5UT9FilwZ7HGzoC4nKeDyEZRDmvrEOQpeBEr5+3HvwAgtBLIY8TdqP
sJgxKnI/BLO6+ph6i81/RL5Bu+7X0Y74bpSs8DXsz16rNKCeQsR1EfPNLacwjTI9GaDs/qrv2E5e
gSpSet10mAQWmgwgABwgPCVGlHg3d2BbF0QtOs4mSZYiZUMb5Vhzd0zbkGHWSGGPcSQxqNXzsYli
zHvYiBFPyHtErIk8zJumpak5zU5uW+R+0tkWkRGWbolfJDA9hay0aZFxe0tjY+0rtXBVf+MqW4Zb
FLYNP/a0XuQH7zGaKXslWgV1Ighpj8049uymUv3YffACN+YmJKKz12RBpM7dimtNkGgedvrYLnxQ
11trZPeCRq+p1oIsqJbnsp3EANg6g0dbQ4oFi1lHBbw/WNAl5oBcyGMHOuDFwph/gYMhsXEhJQww
h8OAUZBdzijADG6s4602jzinRwDPIONglIbaTYYPKW47xFWS1t3+gulJtR1XrOSj3Hd+iyaaRTdJ
VEkUdozAvS65jPFEckVaxvRV1/KZ3u79BIlunITJffHNImFa0S2wDjk6pbdQ57FnlGPGmYB0RWYr
1oIB2LBfhxWW9Y8TbBdscrxYvcbANDaKcHdhdrm2hRy878owmEuinLPsnpoqG88ZxOX+NI96SUu1
Bj3eJhY+NYBICeatUzB8OTYA8eM8snEcHTGjdE3ZCyXRdurZalRI6dCk3zaOFPmbalft9gxLhswB
e68rs/9MR5qq77qbSH8mKaSOZwLUd76DvNy4jz0sqVHbjDTbbuMssuH3MNNW34agIguAb0tEsUuU
Iznw5QWzlcZakP1ml90tZLC+cAHBoWeDS2jLZU+SrgA3nmFmnmUXjuoqjhL04Pt+RTLwC/GdsnfG
7fF4zRF7t1+eNq+gdZAuIBne8qz9DpgvSsuWikhbmLWinynsiLd9OKCy7nBAYiO9tPneaP8gI7Om
RYii2GCxiNlALqHp5Q5KDbgKlYSh8sHytY+gS29483O5nI8/+QKdPewNqDrPkwxxTrDf9R9SYxKH
tafoMLtcCwuhPyAmBEXxmjSkTBMagV6Tqrm6T2ru/BHbKLwQ135s1jfXbnq7nXY+0E9mW1iG5mVu
l+sQ+L59EnzQ68PFwzE92WGp8gFmN3OOalRdwHK9rThzMcB8FCFIfm1rKA3uMSgZ4MGA2ngHtDV3
QK0ogisz6r5BuDqLHMKixB82pjugdmaun0GTiFERrQhlfm7BbMS5iIwNeDfKVVTylWsiQdceCeZZ
69VYmXlyeQO9X5ZPAjyCtMDs2yxvAJIUwFsANsR9A1qxN1HOHMrXNqfYZR0wxH6C2iOHST36zuMG
eSjCgcYtY/UXKKzDYvLFI8RmvhpWR5u28DP8w1GHErbRuDRpDSpH+a/WONjzRlRcYVKVuoKAEWTz
SLi5KmCUnL6k+O7oZvW10mdZX7BfhfZ705c9M6sepsSaA9CCfQFTOaqi879Wy0a2YLP+BKPubSsJ
a6cl30NNHzCwGpeSVRB//xqD6b2zEAvZOEyj7Q9Efm6zj2z9NYb6e0Mh2qcrxjX43LR5FgAtGvqL
Epr3dkIT3Bpl1XB+xDFJACLJldxZ7Nb2n2h4/8SwCiODPzJ9AIUlDow0TCYirL+5nhp3M/hoggei
NRqAU7K2iAXgck4eNwvoFg1WG5FiijY8p39Mobqwiv4e2+gdsUxhRLM1keHHCWmmfdlAGXIH8uBc
oF7D+BGzOHH+xz/pz8hU77igZrZ41cApPsIQYOYfXJiqpdQKdW7pcTLBnRSOJD2q0i2M/+QO/wnJ
8r07UQt+GE6ThB6ZQCaHg+3MYQbW/E9+oT/79HfsM41EP8trScEcGb53Jn71Qlf/hC7+Z5/9jh6K
Mn0etKroMSD2I69NODdLn/7ih79jmLk4duO0MHoEBn3AILXJqxjI4z9+zH925e/oodW2No7Khh0V
iSzO9LXK4xqn/699+uWn/jdyXNLpFOwg3JdkH+DN6yRSJvfpwz/+8D95Q0n6xw9nJh683lq8LjWX
yU8LTMkXhIUEuUIiGXSuF7CxT1AKUf1L8Xzpez+bWijPYSNEj4hDpZ+y2dj7Nga8+o9/ob9trn9n
db93s+FtSAELqew4CFkDgZZj8Biu4L+3EDv2mqHyxt+MWTyyq0a3H9u9+RjjTaOnyjZLjV5F1Qek
M/7c1hTRzbnjKMn+8+r+7cf2v9Tb9Pif12H/49/x5x+TRrOvavfuj//xcRrw/79fvuf//ps/fsd/
XL1N99+GN/v+H/3he/C5//Vzy2/u2x/+cEBd7sLT8mbC85tdeve3z8cVXv7l//SL//L2t0/5GPTb
X3/79nNoxhJNj2l+uN/+60vnn3/9Dd6DF9b1v/33n/BfX778Cn/97e5b/c18s7Uz3/7O9719s+6v
vwnyF0kSSQjIB5Bw8UvWkn+7fIUnf2E0jsFpAINRAqbAzxqRfFr/9bck+QtJ8BdCpAl8dLKLKNZO
y+VLMf0LiymVYEAlCUvR/fz2f67vD8/o/z2zfxmX4XFqRmfx3YQmfzgy8NmQ62c8Bk9OMPiIvnc+
QESQ2DC/2w7BQcByYpc53LZeiHJ7nf2uOnjxFW7gMi03ue4mF2qdwQhSJL6REY8apIy1Iu9GS6fP
A9gv8n5dyOVfjDb5kc4sJmWzp2e+ZejbUfzCeqLnytQwOG57/UTB8PkUZbRRH0gAz+IJni29xVQB
ThUFbOP8ChyVVeijem8MYBAt0ZTDq7oDVApeDsbSCbBamQxgJgXYOPBioqN6HJ2Kf4dfdYaxGhzQ
i7lb5Hnu5ug56eoouV+6fR1KEPcyDAybeO4eLvX1LcTk4JfSHvB/PBp/jcEGCG+GTmt1X8GxHaCb
ANII4kfyGT1xiK98RLYln3lyKfkqdKcbptEYn28ma2+zNY1tMQpbD0XSbcqU02ozeL2ptgblATPv
o8EbQUrsTnwv/No27QNmiwROHVvywjBnvI1IGtRxR+/VnyLsNN01MOgF1IMLkyBnPMNcIQBItqAQ
i+wpcXEX0G5nC4BGWpeuFQq0SZU8cBgh3MZG1BiHKv0FGag/KHqTNocZzLSgJ7kofTGcdjmOFZHL
rG8+4dNwBqzKPFboBKYz7TXq8h3kNGigiMqeO7ggqLtRVf5/U3cmO5Ji2bp+lfsClGADG5jSmGHm
fd9MkId7BH236Xn683lWSacyTt5KncEd3EFJKWWWzM0Mg7X/5ltJACiF9BPJNHM4NduurYellS3W
pNTt/cpCktbOqWN0MtCX3dJijirFi3L3ZTqyGDyZrxK1bl5g5/kgQpcn/m2zrsYSoB4OzSUCOMFn
POOx8du5M2J7JBwUDFuOpapbZdZdlGsN7hK02MTe+2ZpYrG64xgioos2SnfBP4+sUtiIQWR5ctjK
cuaQuLXDFmFDCyPKKDcL3+Ls+ziAhK/iYjWtHx0HwKcauTGQqVJf7ZAY65mrDtdVr5MNx0qN4xra
Rkv2S+nTKa2GkVFwd3YV6Bp4FQb8RJ6LQjd/dJ4xrXFmkHOKsjUd5hAXl29sgyl2Rr7sZj+HC3DJ
7Sq7U7lz6zSlfBoGoK7BmPTaKQXCQfphcXR/wNZ+cZvCuNembHjfvU1eeHYZz63gPEy8wRUPicIf
pAebj6yPUqkjfUMv2z6Y9G57yBtz/6Iyt1/N37mRgHxfZtyoKXVIKrQlJy3R7N0c73paX3mFp8Z4
tVrwz3ox12+jtvc3XuHofYgkiqyRAH9oA0AV1mO/IaD5uqhZIuFqLt3TsmzsS2sEZ8a8iFmO5qel
xsXEcW31h7S2rlRnkJ9dsnarCLjX+TvpLbFGnJy52o1UQ2nq0GHCts/QLF09edZ2Aqe7Q4y8Xtvm
C4UFCQzR/5Am1vrizfzs+qFwnaOBuvq2VSm/m+47kZeyyyywrLq9aPRqfhxYlJL51VZxL6jQWXPL
Mm8VDrTyWf1axNPc1hE0bKINsPlFHfeAJ5+MuhwuMG/Sd7sUmRftI5yRu3LNKdk6ZjYnR5T75TCJ
NPuBbdRvfkFlbfYJ4E5cHlX/mKMHndbdsXJk7gYLMJML8JPEkdVXZ2fqbKKmmAGW9f48GWnz2c/t
7BGTMtf0yNDqdmFdOmngVMscWXO6XBNh1yAWC7Pw57StlocOjtAfaezVCgnRgiZVXt0j/YukO8/k
YKfjunGqYQLTuyIsTUuWwZ5wrQbsIBpewCo7N80s2sBzcu2dDK7TPLnFoOnhApyaXFDp6SFiLjQ8
h8eg+1lrm4lGt5tHpEAuz+yFw7T+Y5wqglSiLSIrL9XBm7I+zAZXatzCazNsjZyXBBjXx9LCkGHM
gXsYkpYeaYNsXvPYrpNpsRuy26PZ6pP7etP0x3Qr+USlWJw5aoiVLVFlFcWdPiUOapkuZtJZKITa
hUVK70POeBxxClC+vLLMZA/clFsOurVZR51AMYPlp6bbJC9T1F5uc+GcrsbI/SKHTciyBq5EQoZo
K1jPy5O37f3O/crIE3/gk88hIljyrloR24Jqa+o+oDHedaHcZv4QYWeYb6yd4AGwO4jzWYfSHGQa
E8QpdwXLer06l1HD3cxDVc3Xi3LM9ZiLeddOU2Okp3VtuzzAZfGGWGjstDiMve3FSMP5l1y9/qWZ
VHunzWNOcrDP98+SZZ3Kbx2bqsFaTG4b8hJjHcxTgXfSWGUZD3blERzAkaMiIHdh+S6KyG3SiMlH
waqL26HcNwYEZZof8PF50LlN0z1urTtctTpuYShLdhsi2HNr9dge4/mzk9bXq2zze9PN5udla71z
uaWeySlZ2++LWqdUlbpIjVelt2+P86678MeKkscRuYi+i1c5uT+dxdri2kyNa+JkWE6ttrSVT4th
6f0GuYQNx7Pj+ka+ZsmNtRXrFltT0Xm3myvn2dewkK40U3lv0t7su0KA6DGLfOXIUd9PtZeTHdzH
LEwaI4e1hrOWpLMWF3ml++60/ii6CpWu454p9KE035E+3SpIxe6+jPlk/ho6zkWZtbYfpbZjWrbs
vD7pK/AB7jFocYCdHzarmNDUJrTlDVhkMK8iv9f6xjkbvaOL42w2ktCizMKqKpRP8SfNg57ygD/t
qVf5bF3GTehtMM5Oggjf74ny9VTIe6vS6vIdgyW9lHO5BLLN9nitdbTvzgPAl3WLaQTfQbRjkbZ4
Ga4hRpalpMuFli0pgU+5jFHj5JsTGUXuXM+9pj7nykq/cLqzt2zYHjWDByvphdTKsTRUe8jXzgqp
UOg7o4dD0lVxL1JMXruYT1Yzyh+9lnU6iK5KkCcripNhbfZRqMS9szjuofTmxmMlze7dNrKhvWaT
2vxLuk6zMBuUor6RY6aqMCsWTR5ssZdoGGiiEVWg1ohbq1x/pCL1vhYKbvMzJnWTH2VrtF+9berq
bkmoyXwjGhzvbNVYWJe5Z/AxpiQFN98CbPFlphXhT8/Cij4lemURlWecw1Yw2to7N405P/Q6RlWY
E9V9WLyhNU/tKuv9nhTUPfJf2Z5txYZD3/SW7W5zTIA45p5dGYgwcW6z/SnIVjWyg4tH1gjQusOY
zdY2EH3Cz4RBnOz4rrJT7abuuSm0PE68xbzRLVC9yKRLG43rOgVEC6rI01lA5JfMIF/KMtcnu3Gy
iGUAInTIMzFFt+6zpjXJRg9Ad8eTi3PRfGwNqcojN1rvccsL62siatn5qaWaG7Iv/fO0kuwtTFLw
Z7PcqstBtE4VUBAwXoSOqSyZ1a6H0U6PXjWnFBZrJeujXUsL6U+spr9uXddDweisTx6QVcgjyy1Z
f6CZL2MyfAjVJ1lAFrBCOOW8j6vY9y9Gbnca7bHMIUdJ6XcJtHxrnvt0Sh9x5lwotpLYnM68+LD0
1Wq7XMm9eN1JkgRejyf+ObIOiBWeFnfjhHAOM/mHse4ymLbsoSiFcdKEyZ1/XG3TO/eQOGWs78a8
X5ZGVW6HuiJ5e523s0mDZ9Gcwtesycxj0Q1yP/BPtcM9z5nhHRiNmx7yfuoOAwie9WLa3fGR5F9j
B1AkxUNeEDcKCbanBP7L7l5tQ3rPtb/H+7xT4ChdHvNs7p2m2xx7NMDa6S6AkZkHoTEV5JX105JS
DBicChdcuYV9Gophy15QwAkFeaJLyBN2pNn83dTJEdITvLWWNYRI3/nrNOVRL7P1rNdeGyEzY9YO
5OamJccUHXaC+1nlKM83M9u+7ldvvF9AJLL/ReSvHZ/tqWlWVWK8sdk1zjVPkyHdhjyPdJmZZWDN
mvaWjZQuzoXWkWOdzNp5WsxZ6mFTWAZxczW3n3rlOmyr4UF7jb/J4ax1vpuCAztsHvJtTapDm3sF
X6G9v2HJ007hr5BhQYTRINhdk3axzG44WqZa33uRjjrHsdK6yTNTf2TA5Q7LvkKG9Ull58Rs1591
0m8H1iJVJ2Ukex7PXmtdcWhwE7L0ECWKtjPZ3MRxJmTI2J2AWOGkgr1c1/dVbEnnC6R0wbeYRHWF
lBjQ3dtH3ynNsoj4MZN1Wihe/uDnKy8HMldod4bO0322mjROsqzqwjmrDovek7IkC1HfCCoX9EnZ
vWLgPmeUTTkR63hcuVZwquJ4IwMOuTs07lK82yMPsGAfJ86vROSslMhhReA4Ida2PalkMKxYG9lV
csgJln9BcbVPM2GTt5rNDuGQ2SouO27zuzAV3cxNcq+hYxCphgBJTQyo8Kkf0P/b1olAVy3k8G5p
fXKTOrN9lIbKnlXuVm5IuDMrD0lRybtdje1w7luR6OHgJTKhj9awQ7xevQJnI2VpEDll5hrCGeuN
2yFFBXhz3lfume6DOaRPRKdU5duF9HyQLTWX7u4cTCfX2Uiuu+dtoHSCVtmcSIR2txjketgpKakK
bXZVRZBlh3tFh9U36Z8RWW7y4bMYMzkePOGNKnZGskcc2ccvlmTNN6sqSP2z8NApfbtNUx7S66Z/
WOOihxXfwy9SWPv9nPGAZxqVl9aUybuiS8nBZMlyRXr4InU8eySpgd5FnG4Gvy4/h4mBh+3Sjp+L
ZrmgjviQi14/DkXFxDtL82Xfsy8ut5XPOLf9SeZfFVnr05CYdVjlLp93wYS8GvLaqrXuXNsDf9Dc
drf4yzxAaYy9M1OASObmJx+s8kMXtg0yJ7EZ9BszBJ7TRIbV2qey0bsHAOj6ka4o8qWXhW07mEcj
b5yvqdKMONGVRZ2tjPfGpd8jp7IIIW80h6JW5oMyjO3C2V39O63QXBDfXD4m1SWhlZR1TcR609eY
hgLJem6Sy+c+Sfi9TWn0wZDY7nkse4Yu+odFxapKrf+wS+lu0S5xjrfJVDHuihGV0nSOBWnMuEs2
jvtzV96Sgt2upW3ZyreXiroOyqPnu8u4/9yKAVOtZIIMgO25jxtp9ctNdNj7Q2NxJq7cYOlKPRRM
8j8rbVVH9c2d4GHy2mOLG/7e2tPVILmJjnhdRYCabCfHuvXSGF75sa/c8tjQT/ENs0P8KGU3PjHu
suCt2oYuWP84c6xdGvaDXf5yzcw72ard75et2N+MKpX3TUsfmVQWWPJeWNvgNxhxAVuHWUFXZEe7
JQAhUvaLVYa8maiF8oZWylDCxlo+CqpkB3NqkyDFj7ycK86nk2P1rzRgL6j+0HXSbce+J585xn2t
1jvSmghHesZ+2rIpX/vK1F8Tve7CalLqejGpoFjNJg7dN7m1GiByIfaytGezb1l9JyMiN/m504VP
DXOKzdW5BlW7BFbvWBebLQwGKW8PYW/1USNGmzPynF+qIdWimYfxQXo64x1Lni65URURPxn3pdF6
CAipwkRqTGoCwkgfNwip8zHX5/URS5IVl0M7cn2Q3b5xU8eVflpIiqeVtkTccTe/NZvqsI1pf94J
woiL1Si6MUJNO21JNrxphas/2pCjNM4q+/C0w2gmDlqaLz20xKNTlzrf6q7HneT7V006Rs5QFem5
XxfGkCVbwtm2beacvXR+rE31ITXeyNoa6AXjXv8kS5kcuT+09z1tecahRLuuyP1GVrKACubBOhl1
E6ZVxg4tm/gC7cj1Pmsr57qziVX5I8eB0fcyjjd+stj5BQyn5uQQYfmpj+YtAdElGFZtZyBLtltp
bTJatZHNgKxDodg0ox9prHmhmHOS6442tbW7fJaitt9s2kj6kPEkSaf8wunH7rhx3ohoYjX5dbLa
2489r8ynslz1X4tiedhEtvZ2ItVZSHsfrzttK5erbO4yZmoti+u9+uxtQwyRZg5rzOi9/crcor4t
B1vE/Tz3kdJrtHUdkp41bc1hdnHk/Q30M5PUbqeCcdhhD2JZ5PsSuBxa7khQEPOxG4OH3v8bw+Aq
/6Ro3v4af3cM/mQy/H9kK5jS+HZ2/u+2wgv2wP/xfzbpR/XvtsK//n//tBU8/R86yr1u6Y5joOB/
k6j+aSu49j9c4ZkSl9wALoi1/9+2gvMPATlB93TH9jgGmfyrf9kKwviHzZoE4TpYFJTnwYn9L2yF
P9vQeAoeZ3whPRB8Bpja3wGzkORTbsLS5QQ0lYdeLxAEUpmHdl4i3jfb31i3f3j4/22M/fF6oHZI
ITt8Ih5v5M+WXyHWxPR0D5mvHFIG3LL4SfGcRJ7RdNHKppKwTvahZ4L1EPb3bXY9pDh7et5VUqG6
C35mc+LO4b99bf9yW/7krnzb7r//XcLVXQvbRXggCf78d3nDQCwSkgkZgOp9bPg7DGpc7Ge3YzFa
Z8/b22NbmeqQkJgMs+3KVtP/jjX9z8/GNGyh6wIGpLB/+xvK7w7Bt/Bz7PK1P3L+TM6ukbeP//mt
/sU3zsjs2q6DX4Uw9/3v/83RpVwwF9leuEeztWO7RPaznDxecgTVfuF59Z9fjev098+VwzzvxkK3
sriQ/vxq3x1oHbPDY2GxIw+ru1Z+MXXib17l2+P+7dvz+EWQr5U617D47aoSCXPQYifO0c5wjfvy
22Ktpvu5zj//89v5iw8P/08iSfB+XPn7wndbQ+P94/JNaED7tVb8WnKmldJsbs2i/BuP+i9fTJqm
7cFV1cku/fmzAxjSckKznGMLmC+o6Ij7GVWWsN4hIK6F/JvQxh+Ard8/RUEi2LS4I3Cf+u27ynEw
d+WkzpGWGvyXufUuFyfR7ysWbZzaOmPlLX3HQwb7IN5belcGnsoPWvKgGJu1J9/lqiOhyDkEkU8u
ULf7LpCmW4U27a3bUVCMDd2s8frTVDR5YNY1yztVt2ez3y79EnBYMMKJY8nsk3y8U3Wt7v7z92f8
xe/cg2cgPLQR939ej0hQYqHB6BxT2j8nahnuacNQQTGzn8BIHLoiwRFT6S9cgS6yRCke0d/cv/mo
/+p6xSyGpWE4um3+zuFUBZODnVTescKHO9H0uG5wpbF7Mvk3uY3/+UoY2jw/BEFvm8/6t+8067Jh
wQ2i15BAcV0nF5JLW78PmS6iv/lo5R84wj9fQMjfuqELE9PF+ee//7dbS18bpuaIwTlaMEiickYt
U9zxbwXBunupcSGIfnxM8f6iYiKeGY6u3gPraLrFL6F0xN5A7XdzHETuYbLlw5TP9oc99268SJAW
AbLK9oBga12O49xelFmdHxuVbTVi7FSsh8ql09QTl6ch70wn3dvcuMssefBUsx21fsD+Ur2ITBvi
A/+hXhm+jcGUHJdR9OysNpKrCTrDDf4E2L8hG2SUIgOHSNf5DWN+8bH1RX1i+cYS6RVB5s2zNTzO
3jmV/ei85uZu3SzI/fE+WENApYpjtqfoQOsiuTKKLfTK0aTS19WnDGBnMNSsDcYu6R4tobpXgQfx
wUoblqNlfSOQqwgbss4cAGczb4fGa6o418fiQdO7/sbVaxf3j8ZPWKoVxx9yQI9gNCdXiogtjSZG
0Lnu3U+5DGvrJ7r5VmrFC4IvTbJSa+UFPc8b01PmtVNnIZpITG29jpuZ8xh3gFTcG4YLXMjMpHuh
W+Zws9OO89Oxl8ehVyUF0bFjKwXCA8ySPCQbNFXnuYW34XOX2i69iU6ED661nsJJJJMTkA2FCd8v
809GJj6TxWwuM1okGJ+Tcd1D+OAjM8VE+pWKmDE08zObc4G81zbKH0xw3XtmbNtGZl1vfHKr2jpN
kz6T4uy1QHGSvexnWUdtryeDn6ffGbGegzXJh9SokagqSr1hObtIiamnDg1q3o0YvgMTszbYH4ks
F84ZCE1wRIw8sjrbfiOKw/HcE9abmREW9V29zG7mtKewwd45XseddBA+3Dw4fihrU9Iv68V7XgZ7
rJ4pRDc0VvWCqZ+An+8kNlc82evhobIYhFDpl46znEqoV6mgIvvxaye0j2k95Q3UmtFMiqPLwZv6
RTltl6KsOajJUbZhDmKDn1Cq+5DK5FHsDDhYmqL+IU2bLZLw2rXQs1R/wkx0fDOliTgnOqW4nT4i
dZPUgwakfdvfCA2h2yQQlNY0ts0WH2xtDP7ebFFm62fuKPMAhSrzfE3L90tBF2eaDTbteba6SMem
fjCbZQzKfDsAxsgehe6tEXir8TDwt8UkLekF9aMXu7Ze8/2uNWX2levjG56GIV9NYD7a1HieWRF0
YW79zxYjL8onOP8q6/t3L/GkwYBq9idi1cpnMbsIcBUhlhi7vRw1l3AjSwb49HW3vHIniBQZ4fhT
1rBvsLDslDJ3Xn+wFay4LhpjiV1TJV+ULu3Ehwq03M2FzlGer5hF5KaOv8TqlWWbsyMRUJPNnBm2
i12Pd8IbthhZmr1lw+RGqKHGgaqmhsrlHdaZAZHuFql36oHR6iDVqIlo6dydwfS6FwOB5hFwwMJB
YUjdICmSp3SbrYteGemNVm7igrCJ95ETkHgSuz1GVZqatq8SNTGVqyQW1MDjrB45Dto5PwVXS6lv
UPKVHcNxjX95kXbzK/bgcHZbvQTgjeO3TNMUs7KmuRor24WowNrLsAXYRnJZFZXvaFURYMu14UqA
zTft/Xow+yyaC2d/EL0zXHV7mf9Yc+64uvZd80iw4/q+XG9ZCbCcsO2SV8rf1FTL3SMUY+0RbQgt
bMiZX6WIyxO66bEd6jXwmmQIUnmbVPW9rpfViXCDPC2TyfkdaSzd5/kI+EU7sHlx+UlEZBR4K2W9
81vTjFccVPPKqoYrkIdD6HZFGqzsMqYAuRmX1Wii1GJQVAdFiS20q3Y5tBb0isEYOVAYsoOaoeb7
ZKCzdFCWAz9t3KGzNNqvVQ5+vTj2I0PSfpz6rEe05KcsDbwyQ9rRgr11hYF21+Xq0iyazXcMrQt2
7uDHJGk+WK2Ijc87NxU8oxTIXG/Rhx6cIcxyVpusAuiGOS0mJKgpuW9YxRY5SbpdFK51BcisCT1X
Y4mAKYnlLFP/nni0Jp3NaAO57bfS7iGwLo1cfPht8hWXaY3QwraDg2n1XRECvhV8F6cYqyCxPDGX
rXeiyc0YMy85qnypAoObzXVeE0gyes17yHi/b8qjTR6WVLD5NGQtV27nfYE29418DJ2+TXQEYFVS
zm35RDAOdue2suFx87Ta1cucqeEHfAmKTr3jKcI1xbYSPmpq8jDD/msTecPST9TzxZk+EEEIKW1q
90cXgaqwFIkBgIfhsFX33PtDyhDGNT/C/psXkgTE78o3oZv9mVp76hvTvtPvWkCqVGl2yPNyo/QH
XaNc1IXak5UQlfU8kxQIU097MqsFEjwP+VuJDXcYiE3QBcyMxkHKX7hyy+8KGMrfg5D6g5MPfdyS
/fY9OszxiAx6/g7ux3U/TaeJou03H7Hpj8QG9ePcC3EkwSGheRpalKgBjFEnqkvIQeJ26qo8bPSs
eWtdIKi9ZUeJthUXWEmIafTffvFAyqOiWap4p0z3BDfIAB622stPVe027Qe9qcNCDbu/g8tiZrS3
g0bEK3artj7Re/nVCtGe1yUxHkyDvTlK325zNZdnak920HomsTcqOvMzff30l72XKoJns9307qaf
qOQlB63x1P1uV+kBBPSX8vrp2mi09FDlXnOWboEeVhZTGa+zvh6pwG3BlPRFNNb6XU9rLSClRbnI
ndfDnthEZFIrbc6FzZXgrkI/GOY0+qso9kO75uWFteX4vOD/8yVYy3EJgBu0n2IV1QVRhnI8NCOf
iCcLtmY2oLkgnWAvZvKitKbXTa3t1dqu12vVDl923U2X1AM7tjhUa8DZ8JqlpkPkJcPwYQK2OtZ6
P59qezuWrfaM+Uoccdq7NOpZ2HGGF4KI2lGgTSdZP63DOl574CiPOg/BGOH53FCMerIAH8EBcwUJ
sFl99c2y8+T+zueKvAW3MKXovIJ787dAf+2w0PXuu0gdQAOUvlsLDcqmXrUhQsZ8u2bqBbYK2T1t
uszEXAX1tkQtme2QLShdVIEQUe1K/Xhu9+PsjXNQEZwZ9s65EjsoPsFu+TsGexT7tEhAgSaY+43p
Ch/TiQ65lh86pwHOoH82Mo+nxRhP1bQpoCCDiM3WAQ9pzDyFzZU+Xm7vx0oDMOE5h6G1HSDp2waW
stPcs9euRSjYFhKb1SO4rDrsp9IIOUKFTY+ozihfRjS+0khmRXLMZo9wBq8PBsz+JO6SvDo18VQi
jqG+oLjuxR6PXf8E0cP1h3k7j9r07BYCPvu8UwNSb96o8YzOtE83b5+FWV41uXxIZ55QeW3cVKvz
My1/qsWdj2zQIvSSp2BYiIphxJ4727nMbeNKEzs5DmcaLiulAXDyjEuLuNsxWUz3s6WOdkjh6vGU
Iu7ZzUegjPXLbn4hxVUHV/Rg0ZaixmHvKqgbm8YXOOSPEwukuIs1T2p3n2Vf8L/+o+ySd1Awl5lR
vVk0LC+G2lLBVKni0NTZE3Ct2K7rx8Ut3hrRn7rRqgJ7aK5NWfK3C7boyG5eoonIuD8WxGKFNrEt
3Ua/ACKK67v0h0VW9wW/qlNVZD+QHU6S3q3m9jboGGRv1OKwL7IkloZg5QsMg5utc4afY1V5iGY4
U4lWn73cBriZLPuxXpIfpelwMOe4/zh+x6S+D/n8ZDVbfma70R3qwQrSpLYPikTDeSsrPRCEer5H
KdlHlrnh01buFFJBK0LX8JTvNc2VsNRKHW5lVukSj8P9Yh21lCPCsOQlp3qNGYY3DPeMfIygZEbY
uQn3lu+bc2vrY/E/uDK9scwlD6RQ70AEDsPInN9Ips+6JONkJ9zzyZ8GvendZ7t5Rf/tBa7bdS1p
iTUr33uqAeAsnEqdsmzveOg3Tzps0YAyHq5j0b0WxkwigaKmn7c/HM16kZU+Brvimb11A1+aoiss
zOl2AxbwvCKGAjOyq1gtqRETTWsjzP7N70grfuTzNB4zC/TVhCBydmjM+huQH5rbC7Oto95Z4zof
CQ/wTvWCxEgx39gG8cKsNttoN6vpF8BM8yZvV6Y7aeLB6Hp70Lx1DIFeXTWcWQ4F55/z0iQMR999
eKFu1cgBw+7c/jWjoHZkffF0RGJ56Cdsy4S0hz2n+Er1eENLb4I4uKNl4BRftQRYGfpXzs25ofrr
XeiNr/K1PBBK6Jn+1QvOOiaJa+oHkSvSzcnoBcDO1kehEX9ymo5ZUi36IW2d9nPlTZ0d5VShXPlK
hTF1sci06cjzVr/u+kw/pW3ZnOs+JmZcRLJpxZW+AVtOB3BgpelazwBV5LO72j8JnItQiGbGrDP1
l2quxrgxCu2h62b1g156ejvS97uCXNGRiDG1Yzdm83Gt1yxY4Axc2zSCI3ajNqGT0b7Qe1K0/sI0
D03NGJwnvSX3MqUj0TYijGAM0fgCII+17k9ZN50Gis94e9Xb1jMqpihen2xtbqK8N7YgU4xCI0fk
o1fYJlp1waxU6FMMWtiGBCbluVNQ3aZ9Czkwyaji53ugKjwR8izMaClsYAJ1ut7mul0wLZbd2WG9
W9gM8i5DiKLAzze+w6iPxWwbACccUcJdnY40CfMra1XqBJc8arxlPXj80DlL1eqiLfI5KnLFXGmb
RH+/C9VFU8EcKg1cNwDEp26f1XFahTzW1Whf8DpbNOVldtxZBxXjjLnnxPUIRk5tH5o50zwHsIdl
EOZ7SWQ5kOv4tXrm8mqU6XsDT+SqJ8X3QnD0i+O4uvdIAMFxVDDacqrsB6NU84WmD09C2C+87HBu
lHcC5mtFQ8Y4PFjbFqgEyU2sAzhTvVcAIHQNbahRgxnVk44WVGsGqmMuYdU1XD7sCjnYWZukBw59
1suUKiPkEuyIvfKYTkrKom4zQZzO4BYGWyGbO7QKwNba4hGkzbqPosxMiCq5fiv63owytqVtPvVR
dVsK7wd1gm8u6iS/sZGwhy0Akkuyg0/0HBOBaXJg7jXqsmnZAiq9tTzNa4Mk2icy6rW2PmoazFdg
+gDDHCM/b9lGUgW3Gri00S5s5d7fl8EiI7qn22vWKghJRaFQOOQPZ4XrltneFkB/SCN67d1NZSZt
UM5bTmSQk5ZLduvE5XfHduDOoGmR9jFrHrPLdAYFsLdtfiHmOa9AR6CoXlTrVDl4h+Z8txW69TUX
Sy/gApTbcV4c+Nam3J1Xg6JlGVmLs9qRmrL8V8tF5tB6xN+8zNJxe9xrz3GCStdUErnaOgJNLlX1
Std8wv9cOOnt4/6oi9Q6dlSNn9RWWiGuyUPBiuNYear8JASUHQrXWEOX7XSR3hB/KofOfkrKhtTs
fO3WhjpX8BzYd8Szg99qtQO5qoGdOS6gHcvZIXZkTZ9Rh6raZ15IPREPa1+hKZo3ZAGvASyWh6Lp
KNNnnnGojAVqd+GOzVtHxOg82rWIQKC0WwiiIIkNO5mfFjrFD2Uyk+0mSn1FNkuPFu2/2DuvJcmR
c0k/EcYCQEDd7AWQqjJL6+obWHUJaBkIqKffL3vIPWRzD2d5u3aMZuSMNbu7KgsI4b/751KEAsZm
uBg5Krsq2xJqeoBvcvAyvcHSuUIIXkzWxEqw/xpAS6uQHPqIg2AyqEFrOhnKFOMwFXzxroNhwCy5
O1dPFmwGoUc4mpR/p8qdEU/tOzBuyzn/TEB5sv5cw30gUQUhrgpjLpN7zUftX7J/4/7JrP4+dhSr
V3EP26naY5ufIwf9EvOdSK4mB9dZYjqYw/h6iLhjkh6NawR3LDIx8+8xZuFljrAznIlMdkHm1RuT
TZuBOiYUHgUG0XpjLgjajEFXXDlJjqGxU89el+XpJgXHwwWhdd9hX1oHYttW1PdUYU0BxiuSavqe
K2XM+1/l+yqlRnjuWr6qIX3FsMHpxgF/a5hnr8A6fa6KtuR6HldcwtMzrsBDNw3THqXWhBoei1tl
QYShGl2EtTYKSlg8eahxFkVLWnRH28/u3YGSr2YcjzHReSPiaTExOKfVFlVHX3kqt37OsIDiTZVX
eARsiPx7yJWjgxTaDifp9fpcwWpAgeuF/+nmI3jixWpfkD/aO8JAw30y+cOrH8Da5pPnXox0tzPH
3rvhLIeRt6MNBUruL3rPF4bd/hCs5nzjrMkak9wv459osJzw0cvbU20nAwN91jwRjsoj6ayL2gC3
nnR4agp6IYfvQgpzxkIbrwJC3czYsXLqlDXTboMn9lLthCnkSsi+i+YaXDSQFC6GYGkbDt2CkaoP
dH1tvOpqcIr8qcBHvyUP2l0SnJiIfZwnLjHpAEyh0VxmNEWm8KKVntS9M7VyX7WmuEEW8fijFenu
RKHoOZ43I6JzliWeNUP9gz/FMn3ugmLSM0d1X2+cVo43cVluBqyRAAzyLTegOMIU+a3X/qke5uCp
pmCBbTdZci8ErQ3vzVxfq3p+WRUuaDkU1i4ds42hcDL77QD0fsEtkzRoQgx0COtkxjP8k2wTZGiX
yO5FlKUrfpp43lRVKndDw62rS5z84IuAy+woDYSXtLcvOMGONRxIbPM7QYMEQRsADgppZ4Kp2vuw
naWacIj6RqrXkKmKcY2Ba2mwwVfoOCga6YMNeO/EoQ+ifu5i/c3S9oG8JwYxb3DharSVYkqN4IEn
b9XWcAsjRMLy9Wz3USRtd+iLhEtkz22l2QA26I8G/SDAYsUy7wpf9WGXIGuKyXNf+b7WHe3i6jyo
cJpnex0H+3xjKW9jkUDfMtfO/lws+AIRmAL46wEsighlsX3yl/NiWRCgwu1kx/a3dAs8Z5PvG3tA
pyXbG3rJizMX3uuwpN4lE6nmqsQicM/g07twLdt+Ek6SkIdwIHtxqpagUIdSBW/j4jccZIyqJo+1
DoJnW2TIaS6inXYq3q18bGh5wY9ufsla2k+aV/g5Fnn7XXj1ysU/UNVN3QmLEQPMoxVbkiw+O8MR
F/EMTlcwGXnIKhrZNgQAFftO4/5YPOndOG1e/iy9NUYxBUKkQXa9QtYmP6B0Ur3nFGEe20ry7/UU
IEOUBhemaMb9GgVt4zwEDTmcqKmk+a7I2R0muERVCP/TvS0E5PDI71RyC4cHbTc1dmd27LNQwfDd
1FbzzBApfqmSqnkzePe3huKTz/k4iwuXk+RhqbP1BVtd+lonFq/mksXDm9Ub7jsqsPxREsePxnbF
QmBnsLIUR/jVHj0K7aR5bA0p2VKI3FTeMn+TW8BxjW4DDkPKUCmf/NzS1faz4VTpBfjm5aqfpuAt
N+GaCE81oVj87OgiM7vMMYZ21zZ9/L4isvACNGX35tdDfFw5a3OoXst+X3AADAdVqZTUoPPI5lV/
jaDTbt26xwdqcQoKHadPthzz8siEfUoYRTQhc3iBdiPizWgm5X5MivwaHwdRP5Z9WMxNCy7b88Fk
zQl6l5NRp0LdR9U+LGrC44yHHaffgtcwktgVr6xhKi/ktPgXc5wO5Lma9jPnkNZFDUCqjsSPhzMd
8lb5CG5NiM1QVM0VCwaJKgk+4ZaqhL7Zc02erWi0Om7RDQWp5xBYWXDOdj3rw8z76Q7BeroFENI9
ANVuvoD7lVe1qIvjqmP3O5COfxUPbXuZSM/AH2iO9rejh+arsIpJhsbY6Lca68lr3vfKg0jt9e7G
x3WOd3eC9xGCdnEhGLrBJmVA+qicDq+hDygW53CsxL3RD/I58arqs076Z0zPdVQrTiSwdYjSeCVo
YhT3rrhdoZO8V3iTPZx0IMA4TxEf9ZDe14MakPWcYFR4QqeZD1m3IwcMw21XcczTTlZ005sA2/o5
zq5BSjjNxmHqyhpBi8fOJip+ArbVe5sCvWI3Acnjbl2PwBwtn83GUgWD6NY3xNXYSQoFeCSsa6E9
BDtvwC/n0Ov8y5labJJevUr4xPmm8rr0Yqz65j7lBwWsH7wmQciuX7Zwxr1PjkZyDIOsWj7yBGRb
VJatlx/OQGcOUnCF6PaYplztY5M9Mxx6NbuRF9TuD90ELkFAjvynJLanJ0Av7GyBO+2T1UC1N2oz
II2y/Ox72GRMjqc55GrNe8IZie+AYYIJCbnp2HLRsWfmON5bQkfKJ3jbGMlycKLUXbCKmOYlIErA
Cb0ve3dPuE6mGw8F2wJx0jPwsPmFR3MYRx22CwH+LVytikmH6TXDVqYZ0pky848YvsuFJzOHXBkW
eXND1C7DvR53H/3iLey60mT7Z3SznOCclyRsB/d17Zg6MMTg8lb1cVUc+rKwP/NyEKcFQzAX3HOC
eRmrem8XoxvBfcNZjx+aYZ5fX0yJZlDmMUy7deGok/WRmt1ExepjhcrBEc8y+pfcSyuM0Zwm6Iv9
tkczODmGDI45bqvbabUhv/Ntq+PSq/5qWehwYFbLHX+BxOYKIzSY9u252zQkoGzVfgMatknZkWi7
TX3nBuc0HMuko06DmGAWWRCpD3llpiMlxADzaiXfnUYs94abyw/DRdqB74yhmEiQduz8yfbSUhzW
qQkQfzHhBuzml0bSmNdl2xj3WNr/yohxtj/87liQuKDYuC3pSHm2T/yDYwEgstdCwffPd3qGp9yY
IYY26Q1Bgox9m6PqDbDt/EmMI1vpvzdM/Kos/Ze/3HeZglqehfHmN3/PahkwJoMZ5LGbDDeB2/YH
qjaZIgjG9vY0iyjmTnYmrufj57SypfRaUzg1FiZ0MfVRtCD+fb9C7Gwx05Y1AyYAc/Zu4hjPvNky
b2uqaJBlKpf0Azvqeuhd2RyJQ69Xg8qulTUyqgBCvrNxapURZbww5ydOwOz1pYGwXVh7ilwhzuEO
Ak/EWkbqkrTw5DwSWGAyRgv1bZe5H3lNFYXhjdikDRb8vKm9BjokTj8isfZffHTWmQzy20cXoNmC
r7Et1MHfUQgVjxIfn+S0joeSe4O4lXJemkjny0VtYlmim+mw2AFzd3PRyylTetkFRLRaHiaYo9Ym
zpKAdsd0pNtIV+42D+zxQjRQ9JrZOIFx5r5bFhyA7Tw/UEfyV+1vvyFCzm6/IHAYaEmf/8afc3bO
/cOjl7GXtGMAq1H0bc4VB2QDZY3rnJ5WY7g359EFJM6Xczb9HmFT6C8mXvqiF2e3HoKbY9ZYsNVE
/rHGt/EXz+b/5fN1JFk+y/JoaPrdJJig4bmmWwX7wkSoYhSZBJcirvu/+Gt+FdL9/nMkvifOrwBL
u/mbGbFlYEwRNOUJjD8XGsYsYPkTFurNTOrtp8UFnjWyAApmxvUGxLp7n3EIBUo2dcUJz05wUy5+
gW2Gl6V16upmsLVYwiJeja3MxGM7FOr53380vwBX//g1s14LuB4C66T00X5+s2kSBocWoHj2RmWx
KKwWMTNPIA7mcdFCek3lc1DcQDxt3qCEk5yqLFKGY5keF1znG8wMy6eTB/OfXah/o6vc/vkV/IZx
+e1f/9fjX1Nd/r8zaTMN5SE9G4n/e5/25qtMs390aP/Xb/rTpO15f1BAzIvoglaxz//7d5O25/6B
IGIHgWcGFjM0H0fh39kv/h8gaLFnuuYvKIzF7qH+ZL9Y/h8SG1wQCMAvJn/if2TSDn538QmfHSKQ
0nRxggLB/22nyGqHYrIAJH7WQzEPuwkbnYYh8JqOw3hDSdyjNnrjvraZVGOjga8B3oU2G3Z+zA9T
Xr5VSLLvEPWyi7gI9JbkqRMxTWYuTH0MCcfMuZtdQaJiJc6s8qm9TQB8f8Gf/DlpRdfdGhjbLie0
5jayuW2DKX7E9NIARzDVi93I6r3x3WJjABTn2FEUt0vj3BdNOZ5KE8IBZobp2c5dsRUMs/ALBGD/
CMI9NE3wClqZ2f+EMlwX3bx1DWPaCxKPzIksPGWqBdi3dA+istNzSWMT2u0Q3LezwVxJD92DrKSx
VQln/gTRGgbW4BxoMOr2sO6nF8Bq1C1ZcfkNOb2+HDkD//TdCtjFooafGpXnMdcWyes4xngqXTvY
yJEw3CavZsOkmyA2fxQ5+HNXInqKzscWa864rhgzNlBNOgqZ7Cpnoy4xvGeYPUbx1pheEIq4nbgC
JCZ9C/3oXDnDCPp48Qr/2TdKdUo7Mi2R7RM/QUJscAn9esj/Z0n4CxyU6aJU/Lv14PTe10Coivd/
WhP+/F1/WxD8PxzHclGJ3P/z2mPGOsOg5B8cPPBj22y6zj+lNkzeesdEGpL+OU3xj6kNk9SGZ5lB
wK9I/gEj/H+Q2gh+354dFh76gmxoVC7O3vOv/8PZwVWO0cJiG7aOOusOyw3lA9+mT06IF9SIh7ux
Kb4xHf1VabXv/Yufn+Y8Spc5rLqOw/fy2+aXpI69umupt24c9F90ZTI6o12HukcHOeDCEiuoHYRa
1w5hkKz3s2rn8qIk23mdmVwZJEOOmcJSOkR52X3/tfGX5sRAx8IllQFe3SSJE2B8VIt/K8uOciAt
xnRnO7HFCM5u9qs7ekcjGYAdUQG1hvU5JlwuGCBnt7+ZEtrW8NR/5CKpN7rAKQWaPxoMPOZeV98v
VUUbaSJYZCxxInko0GP7/N4mBDqGM9lHig8NE+q5WVx7ClBjqOd8urb9/DEJfP6+eJnVnuWsuluc
Zlu0+WVu5+qqaPkoZsTflWgoch6e14zfPME8iipoEx+2a8inwVO0myoAMTcZFqlLjiwONVULZ3Qq
QZgyWQzXif3l1EjlyXM2mcG964zzNl7Jn8E13ZuTpe/oSJGbGI72K4x5O4mKXhrU0RVUENij4d9M
oF+/49kKKFptgh6GfD4En0PL6rilcNBA7g7E0yxWxT9SAulu4tZO7xWzEbQauRSwZa0kp8uAKMUe
72x6smxBxNYxwADTmBDZuAWu56ySN5DdUZHhIjm3ncExGSSMuMwU0pVu5/p2TribAtdOEYjWzhuO
rleRUG9bZhuN1PPlyJhmlxpxHeV9Huygia0npgLtU1f7Hg0BrTKSDbswdhB4VRQqQS4gAA6Kdw8n
PmhuE4tWJNgeqE88B3pAmKq7KpKqDQYsNFoeXG7gyH6pWJ/p7yEYSIlIMgzgKuBAhG3pLzf8/6Yu
tKba/HIMz2HurUcsNICrbgH9oMEKarScSPcuDUgmzV7wUCTenrrJx30yMlkOFQeCvUy9ud00Ses8
O8vorVheFjfeuGNNSnsefD+ko5CAduO1y0Vc4QnEoeu0V1qnww8c3zxIRSdeE9GkX/HgtR98Mtm9
KurgxiscxPNugVazzYhIvwJ4RTXPdJZA469xp7rCHG9d62zyX63UPMBYCxiFMlr7gbSvju6au3MU
y7GMw4wUUL1JbXPZQgC1drkqlwerWe372vTBRk0QSFa2wDPDfQ3G+aOrPDcJ82Rq78bYDH4ov0lf
+oxPbyv9vrkKyhJrkB8k7vNItvc86GKQAadhfq+aQT2B4SnxS9W9+84wCexc67F/m2bPScSFp4Jp
0OzML0Nl5kM6tNXz6OTxnTvb3isUfAxQjD2wMlsTsIGEciQY/uaIXUrXTvXQuB2z5UXjiUR/aJmd
0QqmNsrWlb3LcC7nfO6ksLEpeBanD5qbtqmw/D3iBMCBNFmxFZNGOOBTxXeaFml/309jBzMpEeVp
JdppYqaMWUUKKOIYOcrJwGizUDFhFn7xDCELNCbeDchILlffDyHgp6Oe29Vh7c68aGQEj14vrjjw
gTK+H5ciTN743M9vDRomb63Bc2j5IJwG1Qlv8l3W+PYzP1Lmoi12zND1W3cbS7d/SLSdbiTu3a1j
O9VdiZthu+KOd8PWnbtXtBnYOzPL0NskpPuDxZyfqE93IGc7z+S+Iv3KYJQzUl0NDLxlemf4Fe2K
vOQMGehdWy6MdjjqxF1q5qh5QPndWLMsjBRwNhsYOuM1stX0XIoerPwqS2Y+8RhY7QHEovWWDWp0
IkQpp2WWZdBIDvIkv6JcXt9CVD5PKGaHs1OMUrwFDCNfp2ptP7tkBShTpZolPRMBAdeBosA1ast0
dYAQ9UtyYcaG5eFwt4vrqq5EetuIZEq33LftYzNSQL1XpT0ExwUnwpnWYPJ2EXnJKOHscuN9glwX
R0uCS5OAdR3vVK1IT0/KkztpU2++oY+Ikyg1goaMeHB6/FXUH6DYN0B8aMcTwaaLm4UOi8XBKeVz
V8Qo3/uamDZEcJ+y1GOQj1TbWn58xZPU//BGA1ta0XvPOu+r41iNxWnNBQuxoCr04KYLO2hR6+WF
LnUWPao+p2vGYT6NLDC7nqg3oeePdr6uQyKW3meD3eRhLixUHeCUVTi1grunp73+e9EjNDrXbtMo
q/NhO3IGZsQ+mehvLb7jpKle6ibpj0nh413MPbadxC0TKI31eqosCDkG3rkTYqK9tfnKGSLk13pK
4xCxBdrXyvHrJ6jc8lrSEYV7bYoBZBW4BJH88OCJA5d5FOhC+/G7SPBDQV4YiuWycRfyNr47pi+C
CQY/6HPjGw7R+WxFN/nemAAsr/bKtIzlt72deywriZiXt4b9+dK1kpmWXKqN35hqBNQ7qBXgUyLg
GkZY1Bn1WNqk/EMtNCdHLhj5H5N2hlsE/ZGcdmzdMilxvmDpGJEfZ+uTw4v0EbhGLKNBuNlubsq9
JTNEWr8ZIH705dB/rtlIT7HTMeOB+k+jzfmHZt1lstPcXrD3aGEVJaGT0XtzqG35hudSpZGZdgQo
QNngSdYkLsF/gApi5L3OcmS4kTBKWExm6ewu2R1J5HRm2eKeB61CU2e5aYbWALHSqcK7oW8XEKAc
VznT2kVdG8OhXm5Ur53NbJeKl2BBplFG/t4B0b5uxuYFPT7dkBUgrppjHc8qhQbLwQAOmh5Q6k5L
Kt0Hd7XTKergetBkiFFp16bUom4qPgnSMhATNYMgem8t/6OzBvtUkwSCT+aZSQ/1CLZZRz3NpZYm
xQiwF4sZCiOMpqA8eILHbBvgXeoYGnFICKX2hm+QDuiGnfaoJ0cl9++F7SYxQZIz7dEvkhiXPNIi
b6cNji+cJrvnoRkrbW6Fj4XnjPsympMepXyZho4nqjLrmoNQyYhMCra9HiZoHfqrz3bJBm9+90WM
l8bEKP6a9fW4YgKT8w0N3MArBS312zRbkgp7rGfal6TTlmPWZQZmy177iP+wmcKi988KUzH8sLtR
QaDSzNATw23cyFZL/k7yilXgT7apuRrmA4NaKQ/JSIEaG9U6PU2UHrEZ/0JuLjFqRMgjAIqzIP2f
XC22sO/FL1hnOdFdE2Zr2WEltevuYnAt77OKoSLPMsYIVJQbsGtYLM/ET2eU6cs0WxgCjJUTWx+n
AI0qpjqjoFrWQn1l+FljZAoHMKKLmbRvwonqgQJesPTnQlo6e5LBr3Yyw/cCqNU+G6T5y5iQ3ugz
kzRxoZNWNlqx4SybKpvrQwJxMQ8XEgt3eWsY26liumSpvtx6QSzZcsf4FkwKTBJP++vO76sPGujN
F55Em8ysyrdwLWzesMYLbj3QGZd5OtNssuSld7+aS9ZsxcDE3VjM6srSE58fL8UzTXMsV5TxrPXe
V/nyEjNqelS/wKzZ6szLRgNbNRF9W/1NY5f+kCi8LgUCCsBkY8dCRRW3m2/bV2BaViMF7toiVeAG
sOTVxMAfmMyvibfFUxgW2VSnG1Mv03dmePOmXTs4YyuLStjWcasBPJ1Js3GdpBwqh2G2Dhr0F7Up
xbwc5RlOu2IsG7kHsNMSGmP24sjFTtnG6q68Bpauqw0ovVEANin7bWK62QMELuO+WdZku3q0wq0V
YJgIk5y3nSzmwk2QEx1wOo32W9aucSzKmA7PeQGfzUPsBo9NPK427WMLJ0E2yrJjVgctDnJjh8Mx
Wd0URb+l0W9jyIWP1pPNkznAmWkh5rpbXbTiRJFsOm5xPAfEdBxVvizaD9SR6pr0C5AlWODuFyK4
NiqOiCaI2SFMJsbkQmMWnxR+GqtKmsO0LHN7QY6tfq25GWO1sfv8PZdNInZcY52baSlw/NhGTdWz
9QtWnJy5xQGkbCB7te/bVGbFksVBmjS8EYru7np/om5sqHgMsa+uHLARwJJIyR5zn4df81SiAlHR
3Uvx6J2pXZNRfjH3nvG1zBBXwt70YiblRLjJurkJlM2e3q9mGDlCknAO/GNGkdsx7mE2syw7xcWQ
Oz2GjqQtwCdSzQcyh2veOLf5PgMRfTH5idNGRpN/up7CCIyERHVS0Dt3bl6fYFQyaumaCwoZ1+s5
LZ7S1a02A5evbWNPeyYa5T5rjGEDvsUKJ8u9UbwAN5kR+1uwUYDpSrxpDfMO0gEjvdmLNxRbjfs/
ZCyDfVCXOpxHnLkFqKl93Zn13STprq4Yj28Gk1MjNsYFjMKee3Z52UBSxMLHXQTDAYcLAuUkQXGX
1U150GxsUc75MlHFdFu7vXgmhAIBTUKI2FS9eqnjEdp0BtxwBI7NYCVfdg64KS815gl+jXYP1J0F
F7EXMxufWisB1gw+cxPEHTBHs2BMD9lq3Yq+rK9TH+okLtVJRg1pJ6RJv/7ySRJ3FB59txi+bpNx
HMJhrIO3xhj9o8eQ/dXq3OTTZwONPD4g3ZeYQAepRRe2WZw6W/7EwrhdoR550WzTL82WrNrHqh/E
AcIfFLuJhpVHG6/aqYxrjevNaA+em45PLYUiP2ItwKtYYjG+R+3V6oddcA064yLp3aljX6z7Psc+
y0pqzZshgxBGb0Bbfhrm0F8uJtTQcEwDNrB8JtwdAsUtph3VkRi3gCLcISv7+Y4qc73TzjRyxxEt
E3GdmRCJHJOTwqY475mt32YOqiduAshMNnU9nJHUkZwJy87Al/Y2kFUbqefMYILNYG5iln+Cg8QP
uCZQ3WrXc2Q1Sha0KGtbh3Ztuj8GbzK/Wge62kZaQbFsfOUHF8EYzAFJp0klkV2nHKInu3S//MSm
rgIl56TARFxD8ITXRo8qB1Nt5u5HX0kIQzLpsjtkgeYwaNu+l4MYUWV9wZIY+xjQEnqAYF63ilAx
RDl4k1kWcznP4d1aIU5XcQn2qj3Q6c7pafDTftlRvzF8DAuz+v3/6KP/L7h8Rt0BE9X/fl5y85mp
9J/E0b/9lr+R8r0/mPcLCT9BgI8hqPH3aYlvMvfgP8TezmMKLl3/NS2xUECdMw7fEzgcfo1Y/jYt
MT1mLGii/B7zPNN1gv9EHPXcf4E8QDeBY8Ekx7e5/vwuUmaj21FFNqy7tmzIhGMHYg7c0zh2lXo9
9QqeCna6NeNtUAEM2VplFV9SAlHuYnjAJw5k5hYNr0JIAibcsvonOrS4nuvQjyev3zPx669mqt29
MGiGeYuW5JtRnU39kU2re13pxCHtDnqMPjJwT0XeHzRdQ9tRaVyuXVLfZNKTA26/YQw2ACLQIAi4
8MQ3i2QMQJYGeJXll/KUzVkM0BH5Zhtr27iaKPHtOEnQ+hBWwWx8xUr31OyhFP7Mgp5zgpj8q8bJ
s2OjA9acqlibS9+x3Re2ZBjdrEOcjs9yJUMJUoJIarZONmNe588wFt6mVWRXWZ89YiyFmJxU4wVE
jv4dySQ9SYsep7gfzvcGWV6JLLf2M7H5LVNppKilxgZE5RX0VnExGH1JSqRetwEf3dYExxYZXY8t
tk6n+x66WVQE/pUPme4ETDKjErr4BNV2BvVBI459J2eWD2fL8cblB05Y9zJ1VuyCq+CsEJEj5dCT
gzM5Fk2GCKGEjT1BaS4wsAQc/2QMCUMZPrSzE7A0TXaFmWQXUEHPfzKTVdxSOz3fU3dYBsBYM4sk
Qp50N4U9c/JgbKveGy+duosJdfDkJomFNbOZaHbyqzPPEPvLiFsnx9k7tSZtMQWMRpxintRYcNsk
uFUQFOh1HzxJKTLMjyPqbx7FbVnR8Bb7ABMSXWXZDs3URtk6O+kCZV1no5H/MEZt7WI11Xuws/R8
MkojF4sG/dQOytk6pGYJJFTjzYBBjh8lnjCoubPP0ZRg/vhA6CDl3pbZ1gt7i/vctCYU13bqzbsz
IeXGtSS1Ck4fNwfteOWhCiQR2Yks2suAn/9nRzPWHbZcRAAjTToiJjSvXU58S+MOPnizdZayB07h
utl9yiH/QMesONAhNu8qjMJlFBdjc+ha72wsLQdMhg9Wn+mIfW7nGekzxJc5aoplvKafu7swlZe/
zV6nb+k3HyNHErv2YeByf7vmZmiyEc7rXQFv7yrHYbJzjZ76cLPqEB4R2falg1a708uc7qeeiDN2
PAPVr8XXQpwpyHtufaBUN9IQ05eXx28DLurLvLPrq6kL5ouEUV0Ov9TrDpoU32WzzM2xXpUP28Ey
45tcMQwIMW3UJ65+0Lytycww6InMu8NpqJ4JvaS09gJyvVKB2b9y1Se2a/ZYEELPB7XhtPR/cUq0
6AskPelCbyVms/ygbSOzH5TfTRvl1M1nGdDFkERmR/ffpc+zT8DO7DgTvBhJOs8Xae45HCiS0aeX
15akPG03joNfwRTK5xYYuRT1Yl2ZtOdXx8zgj4+QEZen1MeOhqexeuEgLasjBViMlEVxtkkOjoZh
qlmm4S3bpEIQI8sX2JnTXge94UQs9s+6C6ZLkynztTGJ+qnsHQJUieXC9fTLWXx6Xu7tFSTZq96i
vnNEvGYklXPQJv1l3zTmvPys6WR4o/6sjLzznHbmLWKFbZOdnw/t45RZ1HCUYuVsHZWyaz6TcWju
VunGXzklgIfC0+tnP9EQXVuCPxi2MImZ0kYZ2ZOHcdQjBZQkkqWn/CQaSA7P9wuV8+PWU7gKdwCC
V0kynaTAGaQwbTPCUu4htmYiGpWeKkyhlddaFxXHpGrrWNnEkJzebIbE0sIFmJ77V+UvdyCuXJyC
FiUmY+RTuXw1O43B9pLYuxZhmYGHhtkEHLjZL0GzRoIubRSh5KYk6XHZ+9xYDDnPc2jIBO2VjSes
JtUetZuvzL3OLsdlnqsrMOvTk5N1yeXwyw65Sqv9oX+ZJHvGBWWoppmCTU939ikhGb4SOzk7K6tf
Lsvil+MS/M/yIZBAl3AsluBn2hlEiducCy5KPFlKQiqipjnWW20L1+ZCRAt5hmtXAWXxnrQCsyPq
Zr30FLt0cnDj0knADgY+4sZrRH+aoJg0F/naSipHLTldkWufDrbDLcdURnWiKwLnUhwAljDyeY5y
UDEYydLh3ps1iJCyF+/dsN5LNGEbBkSsH8RcUHNJ3yMVBiix3hhhVWVkAmvcfe9RGctN0c7uCzKY
DiKCUVzmaM4d063u3NXF+U+PJmt2TnvfMi1fCcPbJ8ccpochODc4N+MyPLi2CE50w3GDNix5b6pO
vhgqqPBQ1PLIqJUre94nm2lartagJEuqXeDfvlNcrvjNrYEX9ldm6bMqG6af2ibexpdI+Pw6S6kn
jip+lBglSOstO9VjtN7LUtrf2EwWvSNnXS13diLSJye1x/OfLvxTYVZuss9wsj7lM4nqnSe4AwL9
Ba+7JT8w3CDSMsYxRit4acugOpiQnpuQ+EhnHxzDHPHIU6I9byhypwsRlFbhbFSh+EFDusurGwWl
ZNj6oyrfwEaImz4Hh4l3VrtYYAnOcYYIGGUJr9RvHUr7jbaoL0ezooiRGa16UKs03rmdY3R1tPKy
rU4SFhqBAYp8sNVRaYckd8N33R3jlDjgwW3FxPA31epLlSnMZSYpiR+SPZTeoVkGrHi9xgQa+fhO
VZSKlAXbXU1DRflQTVfeLNqV3msGD2HimO0ntVBOEYFGao6UOpAKlVP34QtRHlpMWh8awRTBeI7h
vQ6W4Zy1n2rdtg0yf0htRvJGxoAhLP7KF0yLlETSrZ5fjWbz5E8dHJ1SZYm5ZdLvnLjz5tu8GnO9
Sav6U0iLGxrDhNeVZOJFD3OOF0u7+nouQPpzkauGMGZuwJoC+DYsYa7Dbyp0dwuyc+WVjwfMJaUN
UYYqzk6/ZboAIJBgkjN3iWNNr0taWWVYFGaebA1fJidD+skTg/P0i7Itu4ricSobanObFeDtWvPo
zUnVARHoW1hWlsYK0ymJkdrER7CJLULto9bxM5DqOuzsFFqvC1Slpe42QsdiVrmkew6khwIRSIV9
ntc7HGuI4QLWELrJQO2NPxHVrqD/CiYm6SajWOVlygJShMkwR+z7rCcFT+Ux8e34MCRle9ngVHrk
tk1pzRBXG9uU81vQuSXxul50P5O+8rNoTVP7Y67OmctxS5pzfQPN/TXSiIK5XSSUwFn/m73zWI4c
SZPwq+wLoA0IIBDANbUkk7JIXmBUBa01nn4/1PSOsWp6q2cue9rLWI91k8mEjPjd/fOOOfDcYbSw
RkbQVG3bObyVdCSERApoO1K+Oq61ptKfDIu30TdqPkjRTYMpLyZDiv3E2LEiGpYk5c5vCibHvdsK
1AkiHG+FLwdA3zwgVr2VM/OBHqPRoZu7xQ5aEKIY74D9ACbxNnfD/tFrhtn9moh+W5Mlbwl/HtH2
GKyVDWahnVanzkBMM2Pokgm3v3fiJAOxXPJHmypO3xTS55MIY0uukIO0TyT8lFWnQFRjZlvd8ATS
Bd0/ZkEEjyzWRS96F5AB7TorAdvxEkdZdacDpIFsYBOcZMaYlS82MgxadAGKZMUCbXx2nKF4pyaI
uwMsd+keufFYGIaEyl5du63vJUkHBvimuKSDUT9gN0FVNQu8TdCi7JH3rD/KZQd2fotLY9hx9fTB
JqXw9MNqRpfyzCl0j8xYMMPr6NoIhgAaXJ64ZtatohpmsNBFsEsgdfmUBSv/CbebjS7dZyj2bcIJ
bHITPZ4lm/HqOnV7MOyeOCNNYcmCGSZLsK7xWQ+kE0PwRCfRtGBNyGzVHevT6NlAZEpiFIB8gc+4
2yCz0k8eEowZ+16dE0ePzNU4lNmaY6bnS9hfwxKRGqLhEGaU/Bpe/liT/jtys1rLMEQf6grTOBio
1wvHjAEvypbEDxroKlBwF1a4NyAOGHZkwlafRv8hAhn24WNI4aQHdvw2wDE8VQV0V4wwDtJOV1fG
m9mGxWrQA5+gNGG3YmTfSD1GsaY96VgBJ6GKCrK9awbJtRlN2SVXNogrvAc2rQQJDxb0hH2PP38J
8ql8dRNdMdxu5QtpnultSMo0Ib0xCwpuFr0VIgc8MCT+XZsa2GS9VL8Le5/9n+IdctXhwui3gv63
ZklMhho3biydRmkdcaAJq+oouC3WQ9o3c53vrqf/d5lld1SIIOUjmo832CadZW4VZrciI6KOow/5
fdkOUM/qwAx2A9SSYFXZyTRjoevgA2GSxWLOULOUKoXeZ07+RqYZvCr66y62QV494QTcu7JL7nhe
lCff5GuwMjLoFKMdfsF0luU9bNh70WsHmxPqsf16VhFP28G1/Lsynx6+jD/+9NZ+5cP+3FA5m7WR
j1HewWvrrrLnscZXw5VjcmAxHU7buDKim6IH6kwxuLFCp1cHpBp4ttkQ/A3V9F/DCUrH4K5Il3L0
DXM2wX9xeQmmgJOnYoA7gZ+cWGU0FxQjgoN6FNwTJKN/exztfd335efvv+6/kkdZTrDU101SdS5O
+58/uZASh3laT4xfC5OljiK9M+SUlFejScwmcb3s4/9Hcf/OKM4AswLqdz63//s47v4zeYUxnf00
kfvyk39O5Yw/fhRNAgDg90HCYiz2p2VRQZOWDBmwcs2Dt9mo/KeH2XD/QGHgHKNWCAcnF5fC/0zl
wFMziuP0O6zidGnb/8lUjt/IRfPVN49h0MQa4EDBBjrNQPnniwqgdFibEYXctd7c2tQY7VL0MoRw
2W5cLe0/IweziUZuAvkhHZdqSGq2kLa5sydcPG7Os3vd2SgQ9P/08qa2+2ZjTF62b/B3YHuOhysw
avbZhHC/1zw33zSOJz8q4eUblJ9I8SuL5q1mRl6fo3lIyVAwtJ9s6o0emyKrz2UOBobJXUNLWNWy
DFfD5OzDvscmNuBLpGUwQlyI/R5ptrU0JI2sf8dJUK3HzDk6cd892fR5kMkvBDs6xLxpAdreInfj
hJtSm6CnpJVV7fs6jx7YaFpkG0q7J+CYDOzzWeJpxAJdP72OB8vK0WCMgneO5spz6zlhth10JR9I
aHbPLs1HVBGosNkXbuTd600IXRl7GyS0kLqZq5FtY87KZGDz0QRmeE2mp3usMtjea+aHSHw6S96u
H6+M0eh2+DP791xP0xcNRwH170ldXzfxoAWrPqNdC/OGJMbbm6fGNLX7IFb6k5ZnKPK8+7v9WHbg
E2kiWVemjyozsleE7zfMf3jChjjmb2+DjMC1QxsF09GTTtNhsOA0Z292W1CpE+jYYIh+Cv5IkhcL
Fir5NtYj41qkPHKWsRpHbI+8aklp08juS5vAme3wdhiNCkyY56y6uj9ATdbXoqW9DUUyuG0p3F70
DEyMBeUF2SnVcJZR9zb1r1BWo0M/qh5KwU0beaz68BXaaWet/USpVVC5q26ocTwxQFm5U2XvFPOU
R/SLhherVh4NCBC3mqbSJeu98po0jb/NUwBpWtOb14Eb6+uENpEdbi/9yBn19kKrS5gBsf5STtN0
CCzfu1C/EJ3HiAu1ynv11sTZsMEjU+/jnJUT2vp9CR+5d5l5eVEbXPCjoUu5VfFQmLm38VvHeg2R
qY8hLSNLFNZ8Y4PlI6Naf9P14jnF4bAw1NCxy+8ea7cj6J61Dct4elXCuxT2bjVEl0IYyzaQB7vY
+GrCwpMlPf5XCBdlW7Q7mTVQA3QhYrUoaj+85z5g2sVW9daNpZ3t9GaIDglTn6da6c69BdOKTbZp
mBjtUvwWDGDnyGRYzV7DUi93MdfUlc7hoxK1gY0A4zvcp67JUi7Nbesxw2BwJVPH3BlVCdCEqD1y
p+rD73qXFJuKnQjp+cGr3/QkxZHSolGj9xoISk3Ig8K39WreK9rjJSAsfGOVsU2o09MNNuiOfymG
kqJyei/C28Fx8P307LrWJH+65xmKcRWGVn8Y9Uxexb4Z4nI2u4nfhKCedK1xSyRD7Rxy+O4sEXf3
jjuIhzZV/Q50w/jmJmF6PzYir3aCyOMb13f4PbA702R6YJQg5UYRvBpeAhasxKeRLbxAqeuI5p31
qAPxnLs1zXIT51G5BRKBhZZUfLAtwEZcB3Fk3nepgH1TSXGH5cM8VVrJjJqDYl8CZnnpStgltpmq
Ac/S6q1/PfWRcdNVPiHDPmxOTVCk7xGXMGfVM8UjqlxzSmIQPJ4xlTsklrl3L3Gusiyd6OapKErE
eufpR5sl184te//I9iE6YRmlLs2REuNnpRnGPfbgGVpsJxqBD0NdqbhJbxh46bcopcQLC6IuwaGY
evXgJ6luYhYeq/d+mqdkKSYNRcNluawkTTCtc4hmf9LCiSD7LNyhqyAo5vEWu0NZr+PQCQ7Q9YId
IIcrParYbxia1FaFiUMlcBtjNzhGiggPaFBy465rBq5bCjaAxvZTdlfjPFqQhqwxYrvXXRT6ZzxA
zntsuuG59714Y+CLPZRV0x19OxW0G0n9LZ7go3SdZI6VeUDAUqmOtTdyDoVvnzzoKTTCRO2SZ1F2
zEb6apb5vIcg//1G50i+Tgyt2plWZn/TgnJjO+03gDPFllsfcwgmjKAUwUqL4u4DPORnBJFjbdca
HCrcnssuB7JHPwrTXavcylZCUjHCa9J0aiU9W7vBc6l2OEiyva95B92vJCYYe9DXTaKNTyPUU2qd
8XDdCA9BDtO9VqwrS7CgTWD+qIEZfudsiAk/Jfoo9knR4J2twrdIY+hwEBY7UJgzbbyCjt6TdGmn
YdPgLL41Ois6IwkVG7aRzVUlxFE58qUdih3zcPJx1J0tkEFaqIeM9p1cnIggTQ6RZMYMuHSpcGFf
Dv8zV22E7RwDCNvZOZY0gEzfhoHOP7YEjrYURB6wdrUoKpJGzNUUoFmuDAdoBmy3vth1VfKajkl6
sBO7fTaTonaXOAzDczQ2HdQ0o9SXmamVt2UDEGEqeychOO2wTuiG9pgGfpxuRMror2Z6zTBXMz9T
embCNa94ycQD/BiLGc1PkFVAlSMw1LwH0JGQa0aBsXQ5JZH9nuV1e63spr9mk0bKO6POSxFUWIDG
HpeJKc557lzztSCj+nKM7s2aId7Sc5se15rXD4+eF3yQnu+fJ0m6oW/OMnDaTVyXEd5qr7wNbWp/
8kam5rKCYcmXystZyxI3kBSmZzo+MLSrZDhEJpDXBUNRCOk9aX7Q34zVnFi+1SL2Xnw+eOHjmVuD
m6LrMtXUpjKL6iFXHZ4vO1knONYPdpW2F0j5/mMs02KG+cjvJoPCp76zio0A/4T9LsGdjowPEQdy
mwQoVFQFFM8MF5mE/HfhHYC0kMTwnySOWcGC7DGcVHzAxTgcSuH4K7Ms9X2RSkIDhZKnqYMet3RE
6OyDimMlgbO+i1LqO8dv6hW0Yty8KabmVWrIbRzILTzNh9Fmx9JQla4kTW6FWa1EPfffYr1zhqxE
003bddtXn6YFMFfmXIrxYK9h1uNmKLMVJY/pyrK1lS3GG80scRnnvbWPi5GQWerlr5LnGc4jlhSy
Tita1jN9UzRhzhtGNMxCHOcG1rZx8j1qsNKi9s5ZDxmC0AcDgCSjVshjN49Od+V37VGI8bth0POz
6HhNQXditU+BWL22kETihWCpdUV1s7Uh2l0eG4IVW22C/lH3vFVwmnT3DfrsAzIyHRHh0G3Iql3p
s09EUXKywq8RrTzIZWgGvrkGDmkvRsoANyaPsmBpmsMzP9Sd8GZMbxR+kzyJ9GhjBX520oH+fON4
Y5ux7Jb0cVGECr9obK2lz3gAjnRwUJ5SN0XHu9xrcZEFzJavBfri1ehN3o0OTv6UAt04oQ3FzBCK
WF64QwmqkMOvTuxD0hvwKfJz0gd/aTVeRrxRGKD9hH3A4CM/qexzzzZMmUUI5OvOrMryKGng6Rmj
ZuEzqkZz5rGZ7JmkoKiV6h0vsbtTGdZu34raq8YynGeL2OM6i7KMgDgvetZFZlSci7GEEF9hTIQ8
54N7CmQx8vRowGNOQ7ahlr3duZWy95pU4y3Vy/UEer895KHyVpkGLNcc4vGxN+vsekiDp9xW3oUY
YPzc6065AwIVYg00tzi04vUIXWujQttYUyxG52xg5FeVinjTFZ7PlNo06Bfm4Yx6EKIMxfKbzlaG
w+wwVW954LF+zJ+CLJQvMH3iA63TXMBVbZ0cowHgNPltC/E69IMbX5DmTxlPrwUTqndvTOKlHfLe
8+iiWzFK6za14j0+KOUfc1U+2E3nf3MglC2BB+i4KrvnqvL3kx9vU2BfeyNNXgcari+8UclQmSx5
VzoywFxlvtJ1GsbZZkHkK/p3xmntfewW6YG5IEPyqOv2RHCNA7JPsgY4gmMpjb1dHzhLVycpwUA6
2qvko8e6/uEzgdhHM9yPJSxstj6p3kctGI8JXn+KjIG8IMXm2tZLe32NjSzfZFPP4bN661qTzrid
gri69C1gqMDOizedC+YKim0HrbzpcXvComLrw3KidDWU07E5Q4KjxM4PxzvPC2vWC1HyGhvuxFfB
jpBmU/DOZkzsOwmDMPI0wO5uUz5Ql9zfxt2kqKDJTOOZGIj2klJmsYE+Uuxwp7rwwN0E6+40pGx6
cI1cKidtmOSTVXFi0qSd68YbpxiJgc0y8MROrguhCnK+pHLjpxGEFldWD0Rdy2i5AXOGPA+HjFdK
jmJhz4jQLnS+uyz4u8Y9DZQkMB9Dme4yELuhWLI81Q/kCXRQQ+ln2Q87ojn3Tuvwa4wuvNA0ry0Y
Vo+72lH+hmhCue/MvNnD6G+eSz3vXqfOqNYuBkpwRMJFK8+9d401E9PaNmuXXSVJx9u+hcGmU2em
hcXJpg72WTley9pIyj1Mi3KLNQPkCIFADX65oD7bxcKLyG5ow6nMMh7xZQiDQFCLSgcBDBeW+sC7
vSpy3un2sK2FVxNIGBNPveDit9VCA/v/WLBEWhfu6F41/ZQ8lUMXbkdQTjuwVsOrnQUp7w5gfBeg
yDrPsmy6QTXtDrGchhutxt7GYD/GNe0qgRShpv3EpOLWTd3q1R+9cGtXffFU8H6bVT5zT+t9uqY1
ojo7jdBbBAByOi0UnpXwyvymkQ1Bjzbvqk998rt7MKq9WhAfq8+2zO11347wbWH+O89UzkLkq8X3
kMDXwQqCGSMF7vRChliHcWqGtIHGDa4DjEQr0K/teVCTOFSeEBttHNOnVsasXCeVXDJud5ysSX7l
kT2+SioyBYuphk6aByB4Fhb+lkusmuKaxTUKBsGQcUddC4+akpforZ+X0JrCQCb7wqYYCxJEdRcV
rGFBUcfpjqIDa+WyiznRfeAvyySrH2wdsTSf3ZZjHfuPVuSEW6/yTGdBnQZz68wWC1n30yFleXYo
y6l/wqjc3busQm9a0fM2mSLzMRVDeHA7I3rzVcu7CG7xlZxkYWJb0v1TZUXGOatphg4MvN0ySuRe
Lzr0GDreRb7Mad177SwKfhdubOqvqW3EdDSpafhmxWTyKMl28c+qBq107ZO7PmpTbUCuokdvUXra
tCGiXZx5jxfPweAVj50q8ZIWFhsDp6lRJER+bdIu9IDxQR2cSsLIbzu56jWRXslyZIkVkcQvFyoK
uydDNfYKjTG49qxBbKvamBQWndh+nsgysWjQ0T8KJzlqsWTVGUaKvtHWAudTetElqm2Ip6PzWvRM
QIJI204MrTb6yB6c72EsRYmNeXYZIbAh1vdaXOPuZ/ZgpJwlA4MxsLYkhYCvl4c8rlucE1Njv2m0
aq8GnOc+QXxMPAv6BNEsTaOA2h76RL2AOm1qzaYcmNrZc2hJ/lgxZEs5WDj3/2/nv3Mm/p3yV2xv
QQMW48+M/IqU90//Z/1jKHsDQnO8/azRSf8nhT3/l//uv/yvz39ntGsK22YG+pux7msaJv919frR
fo2h//ljf8509T9MhrmKya1EBvhSHgiXgvm8cG3sCYTQTfVlpmv+YblUB+ozokQJRxLS/nOm6/yh
Kyn4KctCtKaq7D+b6f4y0QWcNJeuMb/m09DwZh/mF4GiKk2ntQdqgUO/uBheSjhSK19gXfrLCvat
1sQHqx4mDFUMCb8cqb8QZMBo/PLhyPjKRj7jmJgG32iWbL58OGgG2NOK97GRaNPOa7BMaQ2UhnkD
tGhwTS/YfAmSyJS3sBIN8c4YAPFHYPUQspjyBA3ARx5M03DVSTRGAg+SVoZZwGM1zn7fnXmRtXs2
w9pZtdWInc1Dfh6p8i1WXlWom87VZXwuZv0at9a9Gcw4M1/wC9UEoXEaeuPayg3qiFu7PkPUAL49
P79zSGMbyjgKAME886+UNWn3hl7i4CtSc7oh5yhOwqm1e4WvacmE073uTTxCCuYAdiA924aaNj5E
IbFXYhjJwsCOzQjcbrdi1OXR5V29nZuP95NFV9dyqGjsWczydLyzVClOtD7YNQ+GsO33Wilz88iD
r6SflenO1g8RGiu6v4k7BqPz4swAa3p2CnFrugSIljVrQNzZGkeNxMyORsH6xE4PhTAug/QmNf2O
7u9Rf86suibML7VsXDJs5kdd0fdPve+zy9ecPr3LzPpbW2py3XliDlA1RyezjgDlix0B9Jo9PO8Q
HH8vdqu7Z53gls1ghWd90tYtjTDUUoRHZNih2U3pMFy1OD84WXF87FBdtwmb6i17SRKGUenkpwzp
eR8kQ7ozu6C/94mOb12v91dkvcDN1462nlpOdw3665VwDaCAjC3b0lXpsI019zody/7kxmSuYza0
LL5i8NyKDa+kf5pnaO3wzMUq4nLnkM1rWuM0slEpllhPsAtGvQeaUUs4/RV8e7fFLeUrnAKZRnFQ
Z4lpZTdt/Y1EivNNxbF+LmDzsj2QR8cozUU9X+eMKxkYQqk4m2Pl3nfYZQHKt80KVQFirj7UK5m6
GGn9MhgWnMH6XomJeI2UVXzn+PgTV51E9siXo6vVwSrOS9DEdGD2L5HTmsamsB1BuKjVAXnGNZ3Z
6wDJBQzcNBFENnu8oxuMq9OVkynzLbO8hhjfPFNSWIi3aCHjHeAx9Tnhmb1Tfe0+NE2N1WIMWu0l
CsVwCtvUuqcnEEfikA+lQk+NXaCNbCoqNqjS6zeGptGw4sooWvYUPfiLIcZutseI0b8V40D9QxcJ
cYoqozJecAmw1FdyXIL5cUruazt6q4cqufRpFK9Kv4UfGQoJSLzc1+yZaE/pv08NMGZ2Xz0l8Kb5
HaZ98RHi0d2N9DSdy7gN9lOFUczwCqQSvzS7KxuU+FGXYcFNPRjNg90L9z3yTG8P+3FaaZKdVoYm
iy+gTiVempLuMjYY9XmizX2NKQLGPmVp9Hz0xpWeT1SOMdnYtH0efhfkQNc9ZUe3GSGXO9i0xmvq
T/aFupt26wUeh3Bw6gcaaPJt0kFaaPD8PFFZVz4S8jAfEJOtfVAzkiuKERSCjLuYfpU27rdFXWOD
Z6QPgYLMhVG9J/Sm+8fArNhIpYx5rQeRMzhbU67mPdGhs/WiMfjueaatdtbIjG9tBAxIdsjuk7Vo
wmhc48HZOFC4x4Urp9RZRW0FisvXywz80DBiwTM0t1oNzKFeudIArmdM4HggKZdmHi3kaYxpGiNk
AMk42qgCE8vKnJ2XrSqVe2qKMT1M5mjUG2COxoznFc7eKx3jRWrSvRAK7PalrrxvtSkqbzXPJzVo
/H1IEY/XcdtgXPFeQTyiHniN2x8xs/TEsLNG7YlUwoYuo3i6MbCEMQA2ibx5PsiCLBqKq6YKanEI
qMJad9r4POLcQyyA7LzNukS7y1qz+CyZ+e6pvQvWvRJEWvUWotBixFhYruwxzZ64+AnypROhH9SF
2DW3sdfgCAPYyH627AmcsSUrm5pUbolXGBe28TwUHam3JoiN2WiTgXZoy+aZHV+NYhMX1jdiPfpT
CQWZXOAk3sO2EUvTmtwVM7Fqoyd+fd0PtvtRm1N+pZeDG21N2VCEYNggzJfJNHtS/YGQPv9ZeCxJ
BedLv1DmPXwTiJu9xU2/yK2m3FF0wB9AjCAmcRBMPWkuA6vuAvBrykaxjouCZ6bF8wJ4VJhs8XQj
ynjIuulS2CaDYXRRVLXUziF3sFylrmvGefDqgfBLAI3Aez4A/Ihn9EdcAQHhlJFOncEgVpywF5xh
IfD64IboM0KEuQMWliQwNUrU8jS7lIQgmJRxOxQzgsSYYSQM44OADagyr5k42Fd4wqqlXwr0v7Hq
eZoSZ0hRMIA9tCg7yiGlt6Q/Dv6oO8NQNGPmovQ/GCkWsbr5RqewCXedWPu663xQF8x129JlhDk/
duvv1ag719MPCgtCGKT0H2wWEiLBE0xia+XoeXOjxfi/Gnu4BCQ2bhlR+Y/GzHvJZ/KLV+k4z4pA
QAmfyTDBzIihMiG4ZuzKbStmhgyZlu6dXoCYe2ZGzAgy9mxAAlufcOqZDGMsyVZ0Ck4YWNdJ1fFC
bst6a+k5+BolgvtuJtp0ZHwV2JQyvhI/iDdUmF9ZPzA4vdLQwxrC5yMBrmPgjetp5uZ0SJ0Y3Tqo
91gOWZNtwpmywwL23eo09j8AeOKZxJPOTB4rKvg8fnBunknVocnpVcK4ywSCWd8GzxAbbSfKnEsf
EGld2LVhkoVFW2APaRf5MZ/5QLzleqQLLirWQSyEvqczS2j8gRVyZsKQDYqbxLKJq3XRIx4DIQpo
4VkIrLALuI/VJxlJomOWEzbvDDnw4KY/wmVdRc5MzYkzhh0dXkloBOiGP0JpSSezeuGSgO/3NBAV
/Gp/YrUWp212Z1ljeazHBvwzoVpqH5UveR8Wbdh+a2QtvvUlNR3KdyaiyixVKAywW0ljnuNYFH2V
uv2OD0DdWNjPHw1wSuyeuzCeHZMFPkPB6mtNh1j+UPppTWAHcDnAbnpBLiVCyFWsV92uypR1H2Fy
gLchomuMes7TUMdQVAajpWkqdmxSt94QQm+MYZ5z8niAF8sZwgKiTMbVpxuLMNh0k0hx0/XReAdL
hAw7K3ZhLTNaI+ROH/Lq1GpuUDOszPNTEKXF94bwL4/4CETlfF4snqsQ1qmUsy0eYmHXy/pUlX3S
X2ephQhd+RqMZELQ3YRJVBu9a5AOTraKcGMT0BgnDlAUuyFebhbEciPxcd51VB1qhxZOj76OOiG6
g2uXKFIER1l05Il7aDuVOCx79IEVsO2B9x2tGBI8e3tWa8LBIdWLbyrQ7W/c1FF3MKzKPEKjHU4T
D52YR3qsHsbC67LjQGlASaqzL9G8B1eagJ3diiVrMRRHJDF8zjiShxWzAYV3TmcZRRQ7qwFesHPo
MMzZJLg4J251CEaPapSkix6rMenC0xQ0eE9l0/v7JMezFVSl9qkbkXeIPQONQeetsh+Hnkdx7gTR
k9lbpLbCWGu+cbaLM/CAiGq61Gz2sLfYgtSJOE4WYrcrveYEMjwJl/Snwb3mq+NDYeC4HGxruCo6
mYAwDkAqkJOCjrMq3FLek+4pKQz7/X7MmC1hX9097DJdHScR4ALCd5Y1u3++bMcy0TZtEloNyrGe
7PPGf8vC7K40iifTTe/ISPBiVYELzS98qaNuuvn95//KJZs/nkiiY7G6I4Coz//+y8dTwSpSZh/N
uvKwruCzyU4c/OT4+0/5saP99VvOPDjT0Pkc6f6y6RzrqRP9ZLXrzm/YE3Zt4S+VZmrOzgpmdnTc
FUS7hJsFHxmvJ+qMqMYhHd8llOcMo9yPWtae7CJtbmMspOf5kEHM0gWBmmJ8EoKNQhjbTF9a3ovN
xUSF8jY/vsT/UwH/hgqoXN0UJrOQ/30is22j1+q1+TqO+edP/ckFtP6wFAjIf3rs+H3/MNnZzh+G
K3m/AsXjhFGB/U+TnbD+UAYmv39MY2YD3j8HMkL/wzCUSfDKEsJgSWH9Jya7X+8CaIUs8HVM6q4h
lKF+8W26guhrDeNg3UgooNRFjuO3QNjDf1hMz+rGRuEXNlZYwff65WNqW7fx8WX22mae+tLpmjN3
3/p4t5oYGlpadP8IajOz8z/zv5j2GL9aYedPtGcHI0MteH2zS/Hr7e1il3La2LPXyhhcVkgpfg+a
pAOAF2xAEWntNLxzWpjyjefcAsZw8eHzUy/ZaBpbvXSjQ20H5sEoKSYXUxsdXOznZ7ZW08kgsXH+
ctX81d87P+2+Pifmv5dTbkkCz7rSf2AUvzyOItBmYz9kCoE1TxGyYBsD3uJ/YxaxbFI8hwWFIsYS
OvlHlevTBy6r/hFFsMDNkVvfke7ihywfmoNP8vX77/888a/XCX+eiSQP2dbkXcj1+PVwKrfEXoOA
sm6NwjqHkxEPy5Ah0ErVfXAk2s8IGhNVfiRnQhmNRv6iYay15m92dsFgqW8CYM41YUtIDsVeD7Sb
gd4hQBkdK6wFb+r42QQvve08q7okucjfWoCKW4Ynxe3vv4s120Z/PdQOcy9HmCbeDHO+dL4caiec
eh3WgFwXbcKSVxKB7uEs+auhwBjUEznFcom9da3ldf+B9oKDLAFBGINqnvOHtqvdtMPQPNtWh/Bl
GGwQYk0+DUbMPEieVRWKVaawd6hE86+hEnX7JmdrQSrkuZD0rISefHJlY17RZok9frx2xrDbFaOd
7unKYueRZuXJ0rypWIigZ1SEs9vbkCJi3aOUWrejQ0ow6c1zVejBh2ODPENQMIujtEtA7XjAfOh3
8Cpp+GHGDzTbbVb5NERPvz+WP27cX46l0k1JGZFhEgrC8fvTsSxUWseyHuXa8MwUhHWcgY7o9ZMD
KU+Zxnct6odrdjxsRVIoKukORb7/bpdJ9WYVZXMu/Z4+FVHCuOtzqoCQFFi8Z5kylppnFpc8yJno
dbU/0E6djh8uI5C7lnzk0U0G7ckwY/9UTCStIdqH7D5YKJ6cmGBq09r631w4/8Lx5h7lzpxfCczV
JbfCL1/WQTNS802AUtNd+encScmhtfYF3umLNtrupjQMgU0qYSJbOv7RLCRcM+zSxQ4suvMgUR8/
6YXU339/HubD/MtpcKDbOwgINmG/WUX4eklT5Zx2iexpmibftsTM+T3oxj08uGGFhfPw+w/7i2cB
qyY0AeQCx+CR/vOH5bwfyHU0co0LQD3paLnzXRxd//5T/uKB+NOn/HKXYoEN7dqs5BpOXPgJZz8/
IRUzfLOabNz8/rP+4okwqxJw5QXmenpXf/5GXJLsPPGprDNpiqOppdPHZJf2ifW/fisGfONQUbGY
QTvUswtsrGr1+z/gLw4piUXLxdgmpcU//vwH5FovizKQcp00qns0ehrhBm9Sf/MWFvOv+XqZsM5m
4UDEmke40PHV//wxgkfu7LK21/gQbota+MtUH7dIjjdDek9I7XrIzCVw8I8ZVt0GiXY9GURGeZ8w
pzNpkXXblk7bwMpv7LrotzMTlaHdbS0K5NIx0NdFiEtNZwhaoFyOCxMD9ArT5WfE3On3h+zX6wOg
Ma4v3pWWgZ6Eq+Xn7zJZU1y2NoQrdgx4nNsQUOqINEnzjfY3Z+dfDhuq1/ziI4sAPhmC888fFUye
oBxYc9cqsTHPjrG2U/qEt7OCAGLWXrvjULt/86EsBX+9q21d8rxhucSTFRHu19PVi0aK1Oi9NZuB
ezz4+dqEaIn6MPRPZpkzVzeG+lbzwz3VNM+K/NZG9aN4xcZHz68eHFn7AH1yFGAv+1IXDKB5uM1M
+GKbNBlOHy989kT9nNPSEupY/x0HUy6F3sw2Etg8qh/2zIOtRaVq/UK6vFjOcTGcIvCw5rn1ItRH
fVMZnoTKQXSYff6pEFqyUUOPNuMx/zKL9KYtA3cx9z9zA90ilS956O9jy7mbtfTryX61iukjY3B2
nU0pTdFS+k81ZdfXWhmJDTU//goc3Q+ARrqo4D5sk9DOmBrh+3kescrNHCMqb9yh7j5E4lZQddnB
L9LGtJ6HUDgbV0/vi6LDPLNlbL4IGSWQwpDVWnopop3mpy+gaMheNImsNnQqxbRBEeQcEqCjYqzS
K4up78UYbA+yS1Q2ayOyeOdWrfiszdg5p6mqN4AFDHpCYpyCLnnq9dTDLl55vKVeaAKFHEDbMWFH
cEaJfSeLEMpWOdvbs/9m7jx2Y1faLPtCxR/0Zpo+lamUtxNCOtKhJyOCjKB5+l7590WhqgcNNNCD
mlzgXByjlMiIz+y9NtYQOnaJSEmBC3iAGivXUTFvJ8/eEql9QICx7N3aY534rA3xkHCehtlN/s4j
/EHUUtLoX5jYwWtxxSgAu2u2SWzemlze9M3U73o9mNuUqOpXWZbeg6lUwMxZdAhb5prsl2RJVokn
H5oEZB7mgFtT4UEZBNlyuc7Q3FQxAUtgjM2dYu25d5Y6uB9MTDRVz49NAztEW5Nnf/FdJiQtpf3B
xgr20Nex894SjI3l14NLMnRkB5RTfN91jWC0WWuY/TjZg3Xjok+jz59f6mwZHkDR6ReBXmEtLTU/
W3kq9kT6VBdLyOywsJ58rCi0LkTK5OuSXfPGAbTFvxyKS7oQYVwRh7PVfux8WSlWD9YOwcVVQsK2
lGz+ymZ4AID2rQxRUOX1E44sHfdkzN7baN+X7hnl4TWKY75jYH+bYjggZqccj51TdX/S1MmfUSQB
+8egSQEeAzKWlXNjET22GRjLb3D616uONdxDJMf8UmEx3NhidkgoVO1fIGXTzjL+fNMIRbZdEP/m
MvhoSRuDRup0hJoqKMtvUR91Bz8b4RzOzJlzb2Jy2efLEZwdCewqe1OifyNcQUNrDBz1XZOB9prF
VQieRZL3SR4h8dMtKHRAEWfVqGCjEkwppRL1Tllxtg3YlawdO2xffdVatwVf1QbUEb+5ah85YfHv
gvY6Eq0Wbvld2d6NxnPam18vyE51B5a9L5OwXaE8RNpe5PwGsCNPZkrirUHXDV0ujq8BkdXW6az4
ydPzdx8H3WOtxvAu0JwKvIPLBomIOdZNcL8I23vQecPPxNXYUVlO6RsfrxEvFfrpPBnZTyVshNxO
nKMSBlLloUbJZmIHyfvOXwZcQPw/Qm1tW/IBO9mv54DTkYE/om/S21eBk5dfPdKzMxuf8QIQsH4I
5m4kA9Nqtha5zJu8LveQPD/YT/e7jFk/JJhacq6S4mwS0GlWU16IqoaDYU3uHwaiejXGstzIJLc3
RZXJe9dqCNVIae3IS2r8Vy+V6Jo91tTbHJa2E1V3AFv1Y5bOJwcTmPb6I27eZ9IwWj6xqB5YzTrr
ei7cHxtX7qMwJZV+zEBpX/ZuBP1gIVF9UuGdckN/04p8OcjJe3KI2Axa313h3gdjH+l9uwi9TZT7
3Rp5ykl8rf2KgRtEcnKF/P0oQoRGlv3UVQgx88nctoFJz6PGSLIK0Fi+D0vjbIQkVfwzoz2DPMeI
fjcjjKe7XtRpcEjfZDJMdniVXTQcHAbTo7POR29x11E3sb6XCsZ7kbSwKPvW34UkLoJHTm8oO7p9
x4j11HmWubecQrIoIMqLpFFxE4R99+iH8oHl1gzVKLG+Cl91X4uyq72TRsVr2sb+dpj8AuWX8t75
qvFs6Cq4tEz09skUL/s8FPlXAlL7BkAgobohN6dyZ8l7IZKDKTRAYWz455l4oE0P8vgovIBp7Ryw
z1Zs1etR6N0ADYVnXD0o52+VM0dYhdbcP8dD1K574H337ljPjyGg5JNArn6Klqg82b43b31IBm/t
kszvKNivoobaeZwyKfdt4HMX5m6599VQfMbE/61hd8mdkXH0LjIbQGCedAjxM67bfL4HzY0Mq/Ky
eyY7w9bm055HdpSnwfTBOfV0sM1TYz+7dl48YJjzjqof4zPxLuwakzK7NQQGA2NIzEVG5Y9oZPmc
Bw0SLmCEEODlVur+OwZ0tmtr6kWc39fTJclz7NTYOhC2ReF87P0r50ndCH0XXOPq+rC9G2vIvZmY
4mENpzjdWjpGzAnA4HGAcPYDkKZ5j1xo4pblv84pIAMQ+1x/EnMFlCfUgwPo6L3tI6Sx/LC5GSoZ
cob5auczNN1g0MLoYyn5ZAWGZc2ERAE2lAjyo0QpjcaN6Mvakd1m8Rse/HRQkImnNvSPmPmWYxvb
b7E/RPcxfx6bmmU9tElZ3y6F/Al7F+NTpTwq4Fq1T63SF9C7h6j3/7bxFX69ZPdBlYSbaTZEGY55
iciV73MWFcFagoheMY667TPBqDcFyA3xiVy+kdhVZ87ZHTgocpxE36FryF5oMUNn1daFs0tw9CCD
6I26kCqUvkYqch6bZrCvQZfiBmvkdAvyp//pgwJuqpEQaMeWL8ayfdDUk538iYu8vakKmO5uzp9z
wJfgoG+VA7NV2Ls0KD1izidv/nKTPjo3gL+IcfA6nJdJ1D6KNmqP+BrNb81uV6+AxYpTlsdm33fC
gxLuFM6LlVKTlEgu4k0XcF8bxj8EQbJH2bOA9rkqtUyffeFofvh1Qhk5Ntl+lh7q9D6VIRLnHIcr
BOX69QqKeVfEwmcb1UPMZoGZp+mWVME8XMmuTC5VXpmdW1njxqMZQpKSWsEHagrmeSKtP4gsiPZJ
gKIJ/WIJX2RsErBeUvDF2yEAjQRV6NYISxLAjIn2bmK9RcmkenEn5hwzrykfWXJ9+1H5hq6EJUs+
o4rN0uyg9fKuyeha90sjr8nRoPhYo2yx8GBSuV43thtFVLdqkdcREdliTSg3xBros+spZ5cTwreL
PPY1jRWhalBNOh3RDu3SxiMfoU523K5Yybwrzb+f2/JkTYV4baflpNOfxY8e49F9VrH5cgjJBM3w
GVT9e+5Ch24yq3mQxo4Pvd1GsFWbiK1FXA2buiuaTWc7ZDh2xDRdGlsoDCzJcmhqS4M7rV3qpDho
b5NADU8EJqNRIS4AQbxw9aVqi4zUWBzZgKlb1Gl8CZoteZA91Mn0lE6NB521bT8meHqw40bbOzBa
Gn/xnAxP+L8k4ClQVq0Q0YE0dCA9AdfeD/ZKw/DVIcAJIBfYY0/seZNjOP2qe4izcjwYACUfbTcQ
Ue/oeBt2GeTRLLnx2ko8hBUDl5WTFBKfbiGO6KbGV1sRLEuvYjxJ3DQI3ZA88J/JLsARkcxa/OXP
XPfYBARs5GyBJ6KMgTG0LD3o4zEuQXghd4igYxADwKh1q9ykOcPFtoJVEXbRri7ziNxjG2cg8bIe
Pj/XgoafxE+kgdIwRAwNwfHOBLYNkX1iRNHtFZJMXm6d7K3MAjmTohEpR/T5wH8Gho67yRvsL95h
F0nPmB4qMNf3lrH1FmlLTRmsVXfEvGbd2rmXooGbVHVbY4e5I0Kk3RLn3hJwS6DL1da9KTzfOTVZ
/FIb+8aF3v296KzY27nMn1itd09L4FlrLYYZuCrHKQK88CFJXPsTfXbySEyje+tGdrrir8z+XI/C
T9jL+RM8Mwnb2qmckyqxB4jSSl6iZRieoyqpko0eij8cLPUlN+P0MtozIOEiqrqdI/v28wqU4TPk
1SFnmX3GBpNdnCWTOEiB43UlzgzQmAPJPiRgd5abvRVCp3ewflteIGYvI673E+k3/VuTFN6Cpz6p
99Q8KEYkAu0tmROkN5oIsi9ThuKOyaB5rXwmg5OF7qeDaZiswm7sH+w+jxinLGo+tNRrJzw54e/o
SDRlS9kWDx6P6oOMSwiUK2t03WMQ0R/nNd3koYLCg+6oGOudLOP2gPy9fOvxan3IEp4OgjkWB6tO
LqCVKc7LF+0EycaNZ2frN5bqV1HT0NjEWWOfZW7yixXa7dbB40/4qkINgWaaNjBX91yTJYa5pcYc
2UhETXM8k0Tbti9WQdJrXMfBRgriqxfZDpcqmh6iNI54+E2lD4KPYK1A/bZ/+SXcppFUDbWt5jhC
poo4e6S3ioNHaIyY2RTiKz9F5LCWSda/OIPDwNTGVQGXpZB/aiLRt4Zt5Z1DDgDtPQUPRgDLfAV5
Wn60KDJx0TrBYOBp+WPx6OX5sK+hQqHKWmYtT50PQx7G2iMflBG6gJ9KU9V4ey71eT9FYXOoPMtG
rZ+m/V/jlnBfXCaHLe7QJvTXNAbBeEpmvImrJXWieVNfgQQbKmnLugM3McQnZw4J0p6C4F03SDLF
EnuP9eIlh8IqJDAy0wGeocIvO972QMRb+szxbpCj5CggDXMCE1ck+Y4IebEZOhwBAah0sZ17Nbtn
xntI2cMiYFEVd+WCRFNaxwm1623lJf1LQcLMerTscDXKiD7Niqe/i0jQStB7jzeL1TXfgSOwRpE/
EqxxaXD82yO0JIwzy5uLuPVvzhzoFlqh9cNHlx86HXsQzfhtbrgKOQb42SDCmXUTq0sQZ/Ol70AM
kGGw1DsTGPvMNCzjPDeAszbGq4trtoi4K1AWXzo7KMlu6WkXo1HG3yXoV6brHNxv0iEGYBt746kc
YGevR0QEaB7HUHz0Muk2tfDTd1ZKvFemBjQZFt3TNbz6jFc8q3ZW7H3XLgOokYBRf/BZnjDP3LOW
v6lgWPDNZgS2ahcreyzmqH6eAPrsPFtkJ5HHzl0VVNaV8qQREBGT1O9mHAXHuZHuVliFGrYNlvc3
0v7MoeT6es1IdcDAFeM95JM4/Y1ayuqro1zajmM3HHhVs5OMtXMv+tIiVam6ouAm18IeMUx4ANfT
NJMLEZDQsPYns9yWjkNjQDf87QYyJjl8yU6umX57x/yq3nqxaQFW5BI7R88B2x/Dydz5I0doF7T6
VYksu4kTkZxLPyt+DeSqYrV0xXxhssXN0FBYX4WGAH+l7zAGVZjDl0lYvySQo2xit/a3d4Ox/3P9
J1rckCN5hFPugxwPXWNXq8UUtPYh68wZisXs43c33tq/ui1JEaIFX14DpQz7wGX8LiyBmRK58nA3
pdE9WL7gduAMDvhY6aYYJoyIGFn0yaDSO6rRH3CFzR82f0u4Amvnb2hMqn04zPA/OCKmjZqXz1gz
h8v2SeN/RCoe71DOee89H/0m5hrGDdoOR3Zc3ZbpkvfK7bTGMSMXUkzn4GI58CWoZdA9EWCykc5y
m7eNPCUhbNZ0kOJnrifGbY3GeCfoda0JmbInxwHsYIuS7cqk4lvoQPWgpM3wiiP8JgCFK3mo3AkL
1WLtO7snBEaFsMAz7QriiK12BwMkOnYRSQArTjrnScQKuHhrwZ1HEYi4FHjkcXH6xyZV+b3jMhdE
w0w6eai92zQFSl/yHM7h3GWEI+Np4ieO839xfZauMc4rnSenziTvo+VFr0D4w5tqVmJdxYvDaLaZ
NgF3741GVXYbQ/Qj0qqQ7wbU1+nKtV1THIitO5kRqZPEIpwk4+00xjDCBtuar+gutnUt/dVDNNMV
Ix00J4Xa9U+mFi7gGrOvF7BGQ0LevjTQ256zTC8gRLLolX19R0tUpLhQfS29bZxBt6rD0vE2fjtc
YyPBVHqidp+GuU3oZwtczP7Vj7n0/U54XrxWoyrXvaxMu4ZfCS/Bn8AdjNSSMDiIpyKdzx7XeI3S
fJPkfka5NZtPjlHYCiFklATSzkhpT6gAKWeabwtmLimaXV9E+nFwCMmqKe+BYjIeudJBXEjUSTBa
D0U9lxfZdelNjJNon3dkOY1jEJ4nv5VYA5x2F8sFRK3p6YF6gvpUWor7Yuru+wbtsjOlq1a5n0UX
AjYj2QF33FRABDJyG+ZLQ7q1CtfDXN+GOg0OeAjsR9EF3hq3ZXzTzCMmpb56bnOYaw6g+r/ScZ2n
SPn+s0ZdfCwoQbaWNE8p7isO6XB8HDGNHnQdVGAbEb3ppt2SI6ofEXplIK6bZt8PKty5DVNmBrre
LVFVeh+EYtjp/t9QMs78WNknO6ut/ZQ2R1OraK99HqMyH/4OdCs/M2FEEE0ge86oxKYA+xd8BKCF
ojnabldvIepV+ygnxgAn49DxhHtEf3hL/jxovVvYx3qy5WfMrmsLofKP3zfLKSMZ5y7WgyIBA6kj
CV6cpC3zp72f2nrXYcQFeD248dYN7iR2D3yJFQFQKuj1rpwjgYGD1bLY2rI+xcR5LMLaJmV7QTCt
P5oE13lsZXvwQc4RQe8Vxl+HD9pW664Pz+4yHCxBf4fSyz8pSWQ6BS+7g2YPdvqhs0Bk5CjwOJpo
h92xmRjnm/nEAOylSnzGCna0ZvGwdguwMBjfxRFP9CkDYkovMdU/HvlLa5IsPpclOzsOXcUqKzry
Zh2XqB52+y7XgRXsREALtATFMXLnnqz0RDaEl7dssig9IvLtpwozEg1yWM+g8ryg3cZOUzKkpJ0I
nGT6BDUUnkAw+huvC2na9bTLOHM3dpRVZkMy7jcSY/8pBNuut1nuYqXH6Bfu/LkcDvU8C4iBfpff
BBbKrb3XOMGHMo6VfaX8D15PJcg9wDfz7PlExShg4vikZrOteG/Fml56u4CeQfScCEYZpEM/4ChO
n6QgpqHQSZfssYcdr6LELJbuDVzSggWmAUd7wGZUfJGwwa0YlTxSCmRc+WwVS8nKETF78pUVKQex
E3hkNUjAPKewoD9ZZ1XojB9JUlYPSYZRDJtQjMpw1uxHWNCW5zogJmmpwPSO0mUmGmKB1xn3YYjM
+3qeIsckFKl4LEdTPemBOJc150a7h1rITBOvIlLSsAijD3AX+mvu3OCnws8CXyPR5JUl1M09fR2h
FFO9Wxbk67GcneFQBlz3NeHZrHUyQ7eYCtQlsaXeGRSrbQnbnBXmEN1gDmOGb0UrrPwBp1V9gQRI
PIyQkBPdY9+IL+i/qCTD8S7gfgdUfOdZ2akvB+vJd0bE937WZg8BBcktT1z+keLUoCOWK5Iv7HM0
Oz8qmPQmm13yKIws2C7NEqME3uYm+YSD/hjI6d1P+2lY8eLyxi+ePE54vDKAFHu/Vd0lQS+5DhUP
OsbOGWKVexXZOPqRu7vlhqyYkpW1aLa0AXSqAzzobFUvpvldUG+ule/1GL/zY4uccDVEKT2Tb6CW
oGNJ1yLpx6cEHu5LppFaT4XHkLoO5KVEwGDX1W3vWenWmSJn48Q5Q4q+S9N3+oXG3qJKk5uo8paj
gb35WTglUYYqnKfTMiBcXwM4KSl8C9bCcuDSbXTGkQeal3nBXGbJYbYdvbFpdVzOnwaTQd0GTxLD
CoUW89PCtliOBOVHn1nOfjacuMxWp9uiCyBwpNPyPkd0bbAiB8Nkg3TD4i5Uzfs4Ot4DcYwpnLjB
mz9x7lWEJyDW8pMhfJ/l4jD8Yq1HSbQgmS3nxL6dagtwCewCeAdtZJX7ps/SO4/R0B96U7qQpUyh
6mctgwq+f3wnrTwi5CFw6hdauGLTK7XHgb0eGwdKV0IKT96b6qXB/qC0GAFUjq8DbBG+g9kLC+S9
cOLoULNL2upF9Wt7nglbC1TAjLu0kGOzUuRcKV6GLqpRjAg6E8ODBgfYVn/bpbgICTSdqLl95Cri
7AEC4SDnymaQv17iggl8LrZk3JhNj9KGsEsXRHoyN1gDOtQwpBkGxTeMs0AgahTjoaH/fAfgzWw1
9CWRDa78gc1mo4NyeUDGQpFn18jEPNWB45KE4wzVoSIkm+HaEp2jPG5e3Cns1V4zrEvAvWcLX1ck
V+RnZQ85NoEhArXTG1HcsDlh5eA29WFSSd1slK0BzvjNuDwuEFUPCM9GciXy2D3ElV2TKdtp1gnI
rt/BJRR/cEKRl4G45ilEf82ceBLFKYAnLWjgzP1QsTYzbkoj17kk8xSuoGWSnX9UrvHbdYg9/zJS
x9yYOSV2SvfCZ5uGuwgkbN3xsqNxJnJy4Fu+tlz9Cvaa3Lh4ibdFaNR+jJ2Sss49hhFOhNWYB/sA
Vza2/3Bwb+ngulWu2CqS/CiXh1b89GVh/QJzttYq0ta5ula84+IWj+j1uosHTm3dwUa/L5clhKNX
evcJ46BXP3cjSDo4I2KzEM4cXLMZlh5edtVNayjcnFutW53ROfmUZVdkN4yYEycueFpquZ3mlN6H
XsXev1PXzZhMnbeaccMNlBXk3FVCwl/hhY96gVVVOV3wx0miiIiNpePyqMoJegi+begJVrmucz1u
mCF5GzvH7ieQmL8rDP5PDs/nQy4cHqUMrN7oL91jgFSLhCY4vdw8/abkkGVAZfyjLW0Ag201Fxu4
Qc1T0Yhqr/tweJMpZ10HU7Tcjy3KttVsl3zia2KYWdftFTefRQNUsC7/46Oj/QAxVdwBSpIb1onW
2kWouMLFFqzjKDFrfC0h36kaCGLrzafcirlyss7w04EFEX9Zo/WB0fA3M5F3i0P6ngeKaT3TJMD3
Q3mfg4LRGwI3r52DnzfTJVlYXe+vvhO97zg8cxKle3PgsZaUjx4j07GJoW+BAHuJpN0DZyLpyd50
SY37xOI7i2RgIWnBOOkhiBr1xyUK1mPmnkbecCeBaB9be4rWVWWRLjfAHOSxBCb5kDEseuLpKt6q
Vjjvo0uWUhj12TYjT3KXdulyF5K7tZbRNfoUSxlr59qx31FdDi/V4jKYihtYReXiXOFHLvimOMx+
k2yJN/j1q20SLvOTTKQ4t7Dad9wW9TaMVH/TTmB7iEyByD3gn7t2ydgDiBU8WSXdl5vV9U0wZ87R
GhLYBtwhHtSqGFA98PQLg5bhCEDF+qqyLHz1egptvG/NobdyDGthlO+noix2zhBua3fSP1Yi3WMx
uqmD02gM63XuFOd0Gad7nsj6mhqjPrrQlH+8pGaWDkP4KcI3B8+XfkdgrhNXBQOYecITppL/VkxJ
nolrxdTAciOe1rYZ+idnavqLj20VemDcmpthdvDIBNaoSYtJioMsQFwPMBbvydqL6STDBlydk9db
EQ5oVBwwM1FSRs+pgbuUi45CBE7DjYLnzfvMqyeyniVmvNQvuWqQkEBeYwva3Vqd9RK11q+HtPO5
EcDDSJhOdyS0FNeqtjOkJhSvtqXM3Qx1+xkekHm08I5vyvKB8JV65wIheq+6sL8PHG96t1Iw/CVC
lJPXFfFaR6l+51h5B+nt3c7WtT4Ym+oChNo9tXVv7+ssb+7Jy6nAnpnqx5gUb+To2mvVmIJWxeZ0
QGB1oDcscBYJdyCdNfIDgkN7ucdPvXw0mVQw72acg41nUY/1wrZWNXXyqSyCbNMCRD5ILGibPowW
fIHaXUv/Ko1odczRlIljI0LmPuGwV16kb4BTdOB1HOcdSGrHWctXBTSyaJwHhq3FySyDt2NmW/K3
ApfriKs94sj17kUEwq9JMCQDUI9PGjvUqmz/jsxrwok7oyYzZU8ZDRt19nxJrnNur9O+bA8yZGoc
xtlHnOc/qJR+Y6at64wtdpE6uylCoiZheu+F7H6rsOpWEGL2LejJVQNHS1Szv8kbc85Udh6j7nXS
HDtEmm2mmsWQ5cw2e+N8yyu7JsRjY4rIIbxZPM29c0AxBKDQ5FgjCSIKRpySAVuhYTVOLLJizbin
6clZdK3DAnSj9vyDLuezL5l+z3hoHhl1+Yc+ngBrDRl6ZLEUNJNal58RiIudFWXlbQzH/cll//Uc
tHSMV8j6KiR3aP8fSwflRrG6xwo6ZF9kWPq3tMD2DqJlRZBg0b/8W5z3/9sxsv/tLl/Nb/9v+MZ/
wjj+N37jP3/5P4PNgXnB/78ilx+/EIwM+Vf7X70g//ypf5wg8b/cKIwSHwk9t8uVv/GPEST5l3+V
ZIYBpo7Q/3c62j+0Ze/q9nATIk5IV/rHI/IPmcP1/mXjmgKb7AH0wFsU/L8YQeKrpeS/iUMZbSRA
vLkpkwh+SPh/eDQ6rGsWCUj9zsYbUe+tdAI8R3Og6QKSLmR5nmE+IwSkZyVflrjHZOguOCmsqrn0
KmHnBVs05r6ovN2IUOkcSrAHUBuRQqyjUZHEAfePirrUSKfPSTPtWKOwma5kNA77GbHtuDJGLNss
42BGKeKnt5rplCI0og2PedIL0oV1A0EwJB31YykmkiM5Eqdsix6KqByAWIbauk2zM3TU8NuTkg48
Ssb9ZJL4fgFJdCstkA2NWKo1NErEUVJXjwYB6x+MndYXuCzQN3adht8NQ+V3l4wStZ5dXRIDxgQs
32V+n/0Ym8VxDYmLYGLbJXBdjFGF5N0001NvM1Ip5kC5Zzsip4OGP93Ao5w+QABN42oEE3Qp2DjY
m6Z1SnLd22GhBMDLZW/qwfIgOpAqVq9MQw2+Mup692RsTu8a5UgEe45OPkTneNmX3bKmAF05W9gL
0cOSGUMQ3CX0GSnEg4NEbBhzBiEIKqybvvfqgb/UaKAD1EveKTZz3+578kgcdG2tYrLf6jetB9JO
XHQKfICq9sV1FdmwCSMfwBs0ITalL+7rQvk/ueNML4lGILTS4PpazjPZ3gjiadFKixEWIFuk16Zv
671Z4o7A6ECThtnOkpwGe9HBK+rC4VVKUWXsZxJOLLn43aMTQrrb8hVMr2YcQFOhjn6oHNI4duk8
JIe8GPo92qjsvcymKIDNGxRRvClaTf0aE/j0pgdh1A3VsGMxn4D9ssP8M7sHyzflV9AbrrCkA9F7
csifIGVDXQkps2PACOMoeu6lYZNGAOWMfsMvpVkLSLcpNyDRw+sEQMYrLRU3nUYy8VGymjqXBSQ2
aG0qxexHDIHggZ3JfOmrELiCo6Ck7cemU3KfjqUntoNssmpjk02698tEn8kQcx80Up2XqmQllGAw
ZUre9kyQE9Ms92lJANlVMwShO0GYUsjQu3fyZThNxs7Vvu7bAOOgE7cfeCurUxSxDWHHzzBcDHa0
cdomtnbE5Qw3RTqzb7Ona5wyC/Vt0nbhR4JBN141aD3IGtdWJjbC6GRkEOnWu1C66hjDTCl3ncr1
zu5sdB7jYnkzCq4he/QpORn25GXybo+FfCvtOv4OTeyfotGAIaa5j6lLMDT5XfymAc7Va1Js/dU8
OP5XFBShfZf5GXQzOncKvWSq9Z0EzDeT46b9G2V8lpJLbWA+eEro96DL+++8zEBN19Ec15QVE9ej
Wy3aO9CZz8BMQpt/ObUNczHQNFF+wsY6MgJgLk1mLxM2g+81Ifd+QoZob4vK6681iBhvZ5JUnQ38
GjWsk5iIiRUBFLzmuT3M4D7tpEK0wgP71flW8VVZwkoPbpLXP7PUzq5MMu/c8objnmcP/UeFYXeJ
0CkBY7eX1zzR6BXd1PP/KN2UuH+i0Cc+OSzUJQP79mktqApLtoXoMrsEOGOZvfBElesQotw2BTkE
rTuw549Kz/VFkpY6rpVNobSSVebuA2doE8pa86dU/oRKv7/qWGZYKfmEI0SXju5PzeCY8JzV4fLE
YRM0ABfj9CsurfjiAk7gH4ikuukJL34vZg/VczxgqoIE21hv0p6QjLBx/KvHnC44LoUmUIVsdZYl
UXa2GVL/DJ5M4K/JwrX3MVLH+NWfrJLem5WwRXp7P0fXiRev2egHAJyHdgFsq8ApHqK0C55jbDSM
oYDdrRglVRu/7weG7WWXn1DmfWaDA5KHTn81uEJ/1ZMWiBeMv3Z7BnXBFDCz4zhraE4lDd4I4g5Y
LmZ23FMLS+1k8ui86Wvuk8qCgW2IBznSEwSAJOXyPqD4FwhWx3jrQExvDyod/OLJZk4f8HvT4pVa
cbHZDcX1jnhE71hNLlPiyl8ExxHbkx8as+iOHsb7hBXY3Luz0+08OenXOpvi4r7JB5Y2g5sxymK/
036yD58ORMtNsK1HUfyEpIat80J18dZaSBxcG3wA0TPmePMXiL9LFmPTyM9A+RGZvn2vclDvmWYr
13TDupgo9ul+o2bLKJKwn8DM5P+BvL3Xyiz2lqVRZjbxACRy5VtO+NaHoc/FDVjTXmybviCp1z6o
o6cqiaaTa7nuIdMG3XOjc9aTsUFYHAc3aTXoj37uwXxkTWfBA/AbpM/X99AC6hu158Aojx08Q4ea
macXyrcuo2ROs445Q8nCviuC9FR4Srerqfd/pry0j1mexGuGVQzgjJg3/lx8VkDWVqmMfoOp+GaL
YO2dAnLBkGYNutKeMcoqyCb/bagKyeZfcBLDY+3RorECH72jHwaVt55R8ovj6Kc5ij2r6xAeWGFg
Nlk9e6RgkV6GVIeoPQIc8viH7HC6Exe1xGsuYmtZCVITAnZTdTxdFh6fn5ScU/bphlLHz+tmYFaC
VwmS/bxbErs8VFlpbV2mwTwrtTmxGIe8yQvRb6Azlhjfa3ub491+rBgu7lDd1tCMkuoPjDD3bwwT
9aNGpgV4b+6/Lel1bIBDv4AzUjKx8WF3X6KwwzOXjK2zBdazIB1iPRSe57KzrBc/L1Atp4AuujXO
OPjErixo1OU1v3Tb8MBAPxYEUG1ZuQOQhfU+HUVheRfpXMPQ6gnO47bDXfgODawqj8ni9b+xxCPS
oMXg2YlFfWyaHkU2J4KJdkgSr1STGsTP0qrkdkQicbaH/0XdeexaklxX9FcEzbOREZEmciABuv4+
7+qZmiSeqUrvI+3Xa2U1KTYbEgUONBBBNAesqq53b5o4++y9tqQKyIg+/oBorC5YZlsZubHYfDBv
Yh83QTV/x1ln0t3sGHSh3tIg4Xrq4/xj6QnYmayqOIcClV7IhbrETViIpNcC4xWm+Ez57LYndrMF
JaP0GGn6wj3ZPXOIouU1I//82TVz+9qDV7nAZ65RwtCPkg0vpekmagPceERHbGvrCxc1olMive19
Eccb5blmV3tWvOxExnoP03hSnN1WaKg8POwOLBrWtx9doDmvVZt/n6R66trNuU23GOH1rnDZhY3B
Uj0rT4G7dHVSnbXl+6/p2PTpqRQxLqm0jqqdjmSLSpzwR14llT8ntwRsousp7bBPK9lxfvGC5l7W
tCiEXesj/0gPEyUOV8yaRS+5TgYXIFum8t4+DF26Y51PN7GJ2QNZHEzvXUzvmA35eMCbw7VB0Vzc
Z6A7oNZxgc01caAya/Y6RkV6idy0+iHbAvkyo7+LXzKup6OUdV19DHuTv3NQCB/mYaLvVdc1kyzc
/RlspmBzsM+KBAbGTJRngrfizGbHTG6es9BBmA95R9/2WBwuy34Y9twC7Y+id8UDPNW424k6yO9j
ejO+SfBlz2hR7lGCvP3RY739NlsaLo/rWm+zDYyO1Vi63I9V2gNPFhwXnMZAJil0h75fOvOMWmfr
s11G8wveDYoee94xL9AUarNzMgddOsrtFD6bgc7MoVlBeELfrFl34tFAybQwRMNHJgAIDIyqVM8f
KAmuhlidMbZ62MXsDHA4dfCA+aCxNvMxVNirLuBnZpduDwfm3BNlaEkg4Uvd4W4Lfg7lUHx2rcYU
mUMdlvuOWQoU6hzD143HqSWPTvGqteXqjZ0LGqKxVCgrrQk0LCPuoo0oK0zxFckoBAaZ64rikZwy
5LhMFzr2WA7V5CsgQ+jXBsKgfnArziVHmkdk7cAvEa6Pi6N/d8sJQypZh8O4Ys7MlPv7SDqwkicE
njPbTvry+sXSxVVMuST7acVu5GZB+qJ5oiKPAHnyyeZ9gy0onMP7DMpxDjVXQPLjjRAAKcwdzwqP
pFFAORcaTzrZPiy7WwXuhUmFnVA7J5sybprmOl4qjkd1lfTOToq6cG4MvfThhStgNN5izehpJU7C
cDylXWJ2wKnKe0qFG4v6as4kT3Nuy+UYNLOrDmAl4+TsItWmr9An2+JEk/E8UzOj5+57scz2e5Ck
mQdfpnfD7xlIjZCqmUj4HJKMgqsL7A78F7VsHcfMdmqSrVjtFPG677O/K2+gFK01mOW3TVhLcmDu
HFzx+m7GU6YFEZa5AIIsWRycKltmR8PS2OUYCC81Lk1RnHG+pTa4lxr8La4BJJ3K8UcflIuozB4X
DLIdMCVrZ6LRO84UtoYXZH0nKkFptW62BFP98AJC/dzITWIkViLeDEW2tywv796mjON23Uxzcc0O
Tvpbi8gp3jW8SLq+KG1IlyeaNYESGsiD8TMvKa87O5Mhadfb43g1jKRL2TtAyCy+xd7spB+Ce7i6
x9I570qvBueHXxXDid15w13aBMFbyuGO/OBsan/X8ePQ0sDCejmJiKJiJHpnyfd0LvnOZrF8c2C3
he9g0a11CfvyLQB8wIlc1NFdnNW8E52w/m6pKaBaxF5A3UYP6dDY/a5Nso6LJ6BecbOoIT1mE4GP
Hbvs5lKagtdUyS775wIlR54FfS7WDomBBYnJ4/lzjrD9n7tRRBxY7aG7aMjTPfai8VCsI8X7350x
aqgGcDcey4c+6ng2lUGXXUYTdyynlhCHcqhn19ti/h0+Ol+D0xe2xitYsaVktcEonJ+SjioVVmJz
9NxF6/6g1gtLnTyJxO3sqVxeB3ZJipXfbScgvQbg6JgZMfBWRUwUyLT22lpc+l8QzKgOmBrZfesg
lXF7pXX7XlheecbcZOEB8sMraKdwzkyxCG+TRy72mqVw1a2bR+qhSSrnmNRpcU4hgC4fSvBxeBC5
6NWbzO+oKEIjNr+/8mnvHpfuXNvl9B6x7X2e58S8zNTRp0eRCnkxYJs795TZ0wek6dbDCeFjkWoL
bRP+EXaxg1eEwbZsUiu/IUdMl/eidBEcLH6w5ybKgkvNSgKnRraSiUodjpjqGfZZtYb46ylkwEex
JKk97MZehzyxm8Db/5/oltfJZ0vg/Kf5fyBcYnSxBZyzP6SrV3LxX4jEq/z6b//6H5ys3z/j9/xf
7tr3rx9d/EcN829/wO8yZuD/hnxE+l8rid2FdPJfdcxA/LaG11Ek8QKwzkbg/IuMKVE43cDjV5M7
J96+JtP/KmN6vzGqapeGN9RRgs7yn5ExlfiTjKlthX7pgivmEaaBNPwp4w4BrSYuFw/nNkmi9MQK
Jrv1OxfWKUMsAYFp6vOUUERJVsSvaWCHqFL2za7yY3mmNTfdewKtY4lL17sWdjYBDZ0S/tmpLkFy
hIiFW2Oa2z3tq9HFUkF94J0l7f0aiohuKtelxsRy5vrNy21SfpVIEJiWUkQePXBFh72Kn+CZNg2H
LZg/2nQeDHvaphlCE+18oBSSPg4bh0Zd2tJMzjEVMz3aaTDeB6KnBg/IGmYbOVG0Q9wvbY9EHTgG
WJwk9J2SzcDhpa4RjmZXRNcEM517Q+F3yDQ+8KQlllATWSIck2y4Be2fcQJVdI+OACXEcSznoYxD
h+BcWESvjZPL/qh1OH8qzzK0uOQhDoMCaj+v2LHfqNYZ3uO0Iyqu3QIuaO0lb47ldYzMnB63Y2Xb
9xPPld1YSO8sECc2qqQPfUX5SWZfEu5PhpPFq6Db2WAilnh/pV0lJ4mUl27V0vJaxjxV4DruWN1K
QvHX47RYl6qgSBPFEK6sSopePMqWEgwsQzyZDk5Qq+AF8amhag6v3D4P7KbfchSRa1qFEquch6Jp
k3MDtsW+RWYZCak2zDfBIc0xODx1MY3hG9O22L+8un6VZL33HctWPqz43JuY1tOyHvf8Mc4lfAka
sLI1MiymqQSu4MeDuIWAE2H597FApSNkVxFivHZ6e3owif0znRsKc7MMJ0knwzOh97UViOGqbYQ8
hD0rZSwLyw2r5HhTqMSlx9QhQ52JGbwsMgfeIW/EiRb0/uMQTDSpW5SZof0FmC6golIz89ilOrpR
+fAia5VuM6+EiI+TTGPZE5w7yqE9j7xUjlZuFxgbAmaWMk32ajHldUSh0oXHZfNQYEk8exMe5FTh
nsibRh8LpxAIqTUN9M1VHFmwyTQAwSXU1/igu2sNzBrrGZ2seYyTVtpO/OXQIH7U7ApfEuPiHlSZ
e+qJAxD6qeYN7MAeraKLbjNNgxUjTPWAI5OikxKIjEPlwn5hj0F1dWyHVIFNj5nBLDMD+T3P/YgM
5fukEmE3ocVWIfwTZAinSj8qXBYUvQLpwcQFmyeS4cGjSW3vlBwPqKAUmyEMtokw/XWDLMbQHIP7
T2e3f8qJdlJHdByY7XCwugKLIDPMbRgzIbjLbH718aDHkApx5XFoAIfOwwNZEc5CPuDXsv7R98ld
NgqWzqHISKZQX1ymnU9kiLss0hY14evY2UxZ+eqIoOZhpJ5Qq7dqLgjMFuFXLuKj4B17Zy2L/aPF
Sb5pq/qy9vx+I0YP635Am0KbTT/90lz2cGC3zWjxzdd0f1vwWK21wQsRtTebKHRbZhMQDiox/oEo
U3eVxpjjEJxzwvjYTUYf92E+u8urxd/7kKbhso9z2sOUSsdrHWdskLWFPORWj54J6fFbgdUBx/8D
njt8LM7k7DM1lfctG8a98Dmk1F6x3CyGtMpuRkk7xXCD2NhbQ8/OQyp7S9ETiFdmo2Fjh3J+TkAG
sMgNxxvU9RrLk491IXbdT9O0P+uGshu7180FXAZ1iMUY7JGTk62XIbi5oHo2EVuMiylX2UdVl3jF
3dTih2cNdecYrE6kp/SJK4EnoaFwHpBxo1/GQEZfdTaMf+ks+PyfqGTUqv79kg34im17wINsHz+R
H6gVBPMH9lSF/B+zkCbWJ7uBQViMhbej+mm+7TDVfyPb4PCMqxJq0lTD2bxsh/KpxEuwb+ko+eoj
wGRX5NSBPmfGXU7YSkNKSddvHwe94DU12jDu4cCGiH2yTwqbo5SIzy6BkvF2AmlLQJAMwXOHSwgW
h10qtLrAG9zLOln0NRmZ7C7WwC0dILrdhiJsDD5GGkQFJUkjuLH3knUznTE4ehQWOst1NyQLkFtC
+GTXQZh153H052PP8/1yiazpkMe/H8snKm38AJIa9g0tkYwV3itu+9A8c9Kvdx6mozXyBV23whaN
XEQCTWAxhyfCe8voCq0QgXXLRmWZT3CvSNxsBnin+RG4GqL6pG1Qp/bsFle+k2gS71SZ2v3Ast/3
Z1Zg0jnnFJUsGCVtEBKZV++nyrhQ2jt11zGr40gEXqva7EB3D0bYEvYb2HBR3RYBgF2NLHXrGs99
gUUEcflXlJHg6SE28F8jezZ7kFxkXyL9GLuaFKn7vUznS5pw3sk44pUDDSs727mp049haB8CFiNX
lYjF1rWA5Wgaoh5iOwu2ccUHx3kDkzlE8A0VYhRm2X1CKtRFuMtJxfY+RharfJCUyd2QxyeUaivv
bkjik++E7pnXSra1jZc/oxLhGuhc7KYLUzO1O3WHfhuF1iYo2vI1nVf/sqw/4La42xbP7cZdgvIk
uDZvG78RjwQtP/3KmR6qmDtPjX1/0xm3o2oEo6iFyxP0wnm1KUT4fVggfOWzQxeg46FSalKczjFw
BvcGyWiQPJRdd3oJFtCzO1rr6/dZetkbKw5neXRDSyIX4fOYt14QNW8sOuMbjQvthpiz9zGmoU+t
y9CrfUTG8WOIM7CqhUe+ohTGPQaWTdotRvNHj/ceFcznTwarYJMR8nyUJZ2yoHaz5ejm8DfzpofY
NsXtdV/1eMjCpIy+uwgTDzYxp2sqaTkRQD3Ymh7mP5DUZO95ln5qMkfgxlTeO6daCNJ+hFRwGrHG
XwCFtXDsWSK2qcS1sgda60FWAAFTBKvaLLG3GTpxunU4cMBf5eqhsXMikBbxxKo3U7v0zRYadXRD
eWDAxylTXvv+Ak29xD40V2nxwqvF+YEc2p84ehnJI3IVsmtmRQZByRSl+xKiXEDXD8sGPe3HXpTP
nptm19mcqRvqEGnsSYPgtUfofEoKxzo0bRg9LBb+y41CQn7kr5E9iWXh222wyGwWJ7cvPE08JW4c
t0LDJEweZ9hfti2c2L0XUiYgW/m2tkVe4JcdkaLnLCUkm/ivczj+HOresrdCDMNJ2OUB+YRX1+im
lO+Ba/7e0k5Ay+TUw8jrSl28d3Y8PIo6d15D8oM13+iA2y3qpKYWwx+WEwQa9X3JGshGKrXeMN+k
D7Dygve6a6Yn4UzlFbEclW2mkt6w9RTunhxGyHzv2LkkG1BllKKrxfvsPSc91RZI9b2aFtCFbs/i
kV+QRCMRMoM4jSpxM9p1oUDSpyrYyDLMLi22w9dO749Ym+XwZReozdxznX4Rpd1S5xdIS0GmlthO
WYVFOArGGaBgPSXFtrbaFtgzL4s33bbFIwmZ7DzCz986EWlQ3fWOteuckOSOi3im0E+D7oKHXoeT
Gr0131HmWMysu0b53fj1nJ0mZ4w/kP7ZPBdhPtAGgYreyLBoN3nmd8ul5oxtwxaJLueJx8tBjcb/
oiNHXIWJ11/EqWzJlii5PEOzl+zAjOhO7FWsb2Xnxndo9fqjmoR5HAQj1LRekgxP2YT3PIi4CYkM
EaXTDdfItoX5SQtjLc6JEgHzz1SMVEubCIoUNpjozpBQfzJ2Yt3CkORh79u07q5cB+un6Z0yJbcs
4d50ne3eYA/wGBdyNVxTyty/LbFSH5HF6unAJd/8oJQ3O6PZhJSQJE30Wk4Q4A9gOiKECcf5Cet0
wMEV0aRQmKQUuybxcShYQzZs2jRrnkl5LASdyomVGb1g8K9CzXIcgRCdyOqmbJet6/YOf+htqsPg
gc+nvBkNpbAbfNBvYHIEYpYqy13L4aWmTrGhSRnmESEAbTAOYGUGlRiN07l1rHGNfqTjLnVRJbeU
OHE9pvVU3TpOndz2iYxOjaU6wJ9OpOB3J263zf18mCj5zYg/xInjV7uyNcFzXuJa36DqfhMY0T6Y
YygISzEYOhTLkWzjUmC33M4T8kxigukOoP2rtO3HwTLNUzE0ZBX6qaxukZ3s6m7IpvgE59t9p4fS
5/+aczLb8DzPDUbqfT3J7pWwWfcTdJMudtZY0TxhT8Xj4qRIQ2POmwj9Jz4XbYGTd/F1TFBHlNmB
g7B1HVWBdA99DcY6ZjlGul7F39rBkxdzqUwLyQIV/hj0FvHciNXFDeG49tbX4MPJwy8PXlJM2L6d
7uzjMHjzhT09thy3pp2YrPDMqEQDlphUfi45b7YH08zFbum5OrdSzpV/24gctrWNcoJzfpiPdjOq
92Eu23NPW92NDd2UwImPGOW0DuYNpiVOYHHXojEGjTXdWS19aAnExU9fReYrqunI3fSpLrAq9cN6
YuU58c44C2WEEd5nkYmENVDZggDhjj7HonR+Jjmeiw0fMbuaIKjhB6k6xgZPtIjjb8ONTf6DpQ5u
Hd2c06U3T46bp2LnhBNeaztX0JgiC8CnEE5zrYmCHHNcIZte99MrdZA0aRZW4XENt+tzE0LmrHY8
z9Vlg8RX3NVZyymA6FGVHKfGISlv+9WCjMqpiJKNNe+LGYKLOQ9YfDYm+lzaRV12Go/+XjeAwDg9
kNUlkqlbcjJ5Q5fAiKp+MeaDFZ3xmlFgEjps9khJUxmNi+rbhOn4hwuGgXVKUL64bhY/B+XAmn+Q
9ngcbWs1Iznm6OHnJEhGyeMCA/tnJmDbHTBN0O6CHywnkdDpYTcD0zggpFtHXkkNzWQzc5ydqF0h
VyhFhJiyKUgsfTr4IPoNdg/3aQlEvi/lWvcdeBeQWp3DnOdqD+FhAVw12zc56sxOUr0AxK6bZrbp
afXQeUH4WS014roLgya3J1oro450HDtFi3nRqORhQZRi2RDnL6RChps8c6anqgawwuhIsxGftX2b
+KPeBWUdXne57V4M3PBPs+HoT+/afIr8KdmCTC1/Vtovb13Zuk9c9pyEU+dCJPQHTiI0r5EZnMvC
EwuUITGdYlf15z6Kafw2qjxKchqd7z5yJm/vR39qLtMocq7iXlWnjJjVm8039xGqFMfsYLuHIXFo
0YHre1X3ZXLX+TN1DcTuYvxH0WbEXwXFRcJ3c+Jv4WTlJ8etaSHNKSfBXocHyKKXRbntlanNW0B4
4dhk3XgMYgwrcUW3taYGh+SIfgl4YF2XcT2e3S75FIQPVrUi26uWTkGjXM4Dsr+Qv+oXI5NfhjqV
O1PGyTYSU/4dDmV5vTjY41jPtfwl8+5Ep4A5GXboO8vo9MDP01GT6ih8+EfSTsH/gp78M7qeKQ6/
pm3j1WS/IYT3J/YkZbGmHHmQnOWQSI6d6ylNqyq6qUl70hnOJTRvsYKKTQ2U95DNvX8eCwWU6w8q
7d3v5M5/IUN6VyWl6f7tX4X6EyKSv4nvCaDRaKv8D+uXv58n2z5spoLA+nluaWhnA/URB2pc7uvB
CbpbrUvh3WV25qt9vhTjw0AqpMUDnRqxnwfu79gZnsdJuuhks2yjA1k19DPqM4vm3SN36mC7sdwX
9qj5XRCEfPIsKV41IVVkiVWQK8ZBfPhgDfHDMzW+IH9YB5pA1CMefeuzpXt3A+kk+gZGuKc9pImS
V5Moto5w5lh2JIgCLFdfaHrnQkni6b6pvFTvUGKDPTnY7NKJTbsjuK84SKjodqzaikxWax58v5gv
rWlSQPEjXoelC41zyl+lqux7fDUXkAOwkKyiJTWi8yeRH5TMYTI8IS26hOM9kqv7UP+SPaNfEigU
TvsnFn3kAIlt6AubrL6b6L54IKMoXjxlNxg+aWhC/loP7JNxe0kXuk5OSZ9jhYwV12n+63Qvfp30
g1+n/unXBJAM2fzplvSoMqXqWxb/zAnCVOoEX2fCwtME8qh+jRP0yXnvycIqDeSUPluh/Ba5c3+u
J8rF2YmBxSXluyHjXvkba51Zhl/ji14nGXIf7rW3TjfYuxdKoCYT7/XC+zmtZtIBYmQiWmcjvU5J
cTwmu5bS7KNsWjTKVRHd8jSxPvJfQ9a0zlvpOnkF6wwm12lstpC3G2AzWDqynnGtDoA7PRKwzN5c
mdfvUDXYypWzUdNL7jV8SG6VuzeGgrv4ODoeWjhCev3ahrVXflmx1yf7GBPeT6MIht3949tE/hL9
/wC+1cgtPlsJ6Ur2EwL49N/fJn3ppYOKeZ0knLWua2uKripciqyWVHaG3qDPjW6LEYxsFe6ntrrV
eRVexRPlVhvLG6cLz0RUvzfwLVjNWaBTS8ojHph64BM66KSvRCnohI4IVD46YwPzSJJLjihyI1Qz
3RZ5CBxt7NSmGMVwJTAOGxYKU/iJ45qcQ1J7Z4/E3D2tjvAWJy+9UJ54pFXotpThXZBPaxt41KMA
hwdhR4/c4+rGxmLCYEZc1HJsOGiJTXALvY7QVttoD5ds4w4b43FA5d1hn4baz+88dsx3qhKDs68c
N3oSvlceoyEN9qwy8XBXqhrR3uasu+Hh0pAvhlTZcZIxOxdtGQC9Q3xt7070Ry+NDSKrFy2xncKr
yy+/75r1wNxzkHTNnQTH87xEeE8qlZJzcZd8FzQTxG+R++FbzFbhbWK1SnUTxthDaLL4mBQNxqAg
dHx2Fqk5pP4cnUrtcstBzaB73G090m1FOnwVYRDw+urt8MgkXCa7iYBwuouxqoBo6unwJjsZ3uOm
wnQknPBIEU1CyVdpPUwoIygFQIOnxB0u8lTTW20n4gZpceGq5NCZp8F0SV7O+k5Xdr3njwNsZumS
Ho50jZ1hTftmzyF3QMS+HpsymhmbnPjgAV3c+os70ArbmLdBiuSJ8JN8btKipApyoSsa8gyPpmlM
75fOQEErHHXp8pTaOr5v9hW7hv0Yxf6dH4v0W2l3GU9RKAXJRvPJYAGxHdwTxguv5myxj6SqbO7r
IFVXdVE9ApioDxQNcbb89SZa4s6596w2woqFux15x17J5Qo+xF2ZhT3soXWJJH7tk4SZ+mUb/toz
2evKqUXVXRM96yaKKhm2UvB/acPxSvkhfm2tAvZX8tcmq1M4LdZaXjyO66arlJYFTSoZmT4Tnt7l
jqdb/UYmL09OyvFEhHmkBpiyvse+nB6zC9O31GA2121bWg0jscN24p9MBsq7Tsa+Pbd43ODAuOLc
SEynu6Fx1kwn5qoeG1mapadUexhwZgQMcKdE3C9Vr8LkBOMCTXda5V3Mdq8AaqHgmgjra/KatOsN
AoZxxlt50YTLciYzQL+wqPr1b90dXDallxMF9PvOqtwTgaDu/R8/qFiQ/jGCwWNKcLDgIYUXB+iz
s+42/6AOk43GxpZzrggi9yYKbpusvaqH+1//kn8qm/M/LrCRsv8rePPvODn57/+DHTdXivMPF9zf
jHlv/7vl9l9+5++bbe38Rq0KYy/VIR54GQEn/veEju//ZsNVguLlSHoj9Lp1/ltCh3W4t1YCsHGG
fMBv+utqW/2GiGHzOzkpC77Tf2q1/WcKuWAoFg4JHQ8XpBTqTxcHhApYOr07HOvUBI/cB/NtSXE1
EB308g8rWLLL0ead+r+dMb1fTUx/eHuybGIbS3CABxAiOsVJf39ZEtXN8N0Nw9Fz+vCQtMqt3wu5
8hCSQTjFpq9FFm8TnE+vOeWjy35yqjojk5urfhtmo+0d7bwWcsvrNgeaECaGEAteM0fMkYF3gXfJ
7uqQ1GERdv1plGsWBSM9qxrOKqQU6krPH2psNspATz5KOkreWD1OKyYieC7stIj3xHCG+xlXeb3L
DA2FSZwDVtB1WKfbQcj+tYSmwU2M1VcXxaWTMPSOtNWPC4acpfygMnYbG+LzSyWqXRdWn6wgxFXX
8pAmKeQjV3vsvkIrBaNcC6q1XcTtrRV54TeL51m6Z9dRnen6nrZlOP/wKzc74nU/hJSOno2cUtg2
8R3RfP8wTMUCd6DKtrDenpNkTYdztOOnlY8DrlBWl/JhLhqqs9N8rUKrIJexTbpl2bzTE1Ivu7II
CCnb4rFt3ANCR7611rpGr4bm007ync5YNsSBc8k0BNKXTH2k2mMZ5geiWMgL4HqgVweM2eAIuvXV
3MUVb8GwG2/Htm+ubJLf5yVkYAhxER1M1UOYbJ1+KxqbuqkI+owhU7/PNFu4bgrN0bhRf5Z2B9Eh
Ue7ZsX0PU4Js9qLtezKmXXJUYyy3C93D294tJTyBtD+EdVRQmgkLJXAxFxAqTY7L2Fr7Ae8hvjsR
oeSUlvMFEws+J4ubnW951g1V5OVZVE3yMC95lxFCzR3m8T6BxTURkt2kqc2+G6dvERGH9p1gbbmj
sJOwaPdO6CKrtjUEDmubxIv/FvWOvvbnRHyguBdfxp9TH8t07aq1hQVKc5Vd2ROugd3Y2slNKoPm
bCj2I4tvXbAcry9ADlUvhfbYjsN4hs1nLyZe9i2Bz2XbcZTwAO5VnkdbulfdFfnAWsyGKYFTFZD0
ThbSvXE63uh08qn8Ku8KcZyQvwuKhGP9WLigb3dW4di7xsMmsWfHYOzN4nv62m4VfvaumYd7aZn5
4ETxHF1EUY0Vv7Eb/60zmhQr/D+s376qYpLjFp7dUdtnHO2UtIOrKSi6q+QZpQW1KLZ1dKLc0nli
ZiT6xCiUzHyYaxIOQNmI7dSr81tVVMMzaxroLTrw2QZ7k1SXOAHaca/dMWouZhTSHxVLjqOH4Pmc
qbjpj4YD2c+VSRIccPLM7UZ1DQn/DVON9aA9Mx7wOFPu2ek0w34nW7UtMdeymYDN+dRLol4wzazL
trYpH+Y/aguzxYdrQKCJvx/MblCOt6Ezf4Fj/uiK+EpgC6xtyzn0M0p6Mcj8NDAt3yL8A9FzMFsb
tCI9e9lVQFh6s4i1AduuEeQWC85M3dyU3tLdNan9FWc46tqqLWCb5dHJTv36uvT97CAJnh9QDusD
weLkDm6tOU50PF/2yyT3uHAAdXotR0Ocejc2XJRkR/flClRnbV8UIZZAbKbJZQAKI+YC1uj4S0ka
HA+ly6SdjskFY2x+icp5O/kFfQIYSiE0UEPUeT+aahZ5svGr2dnq0iKOTUsOBgOK7Ltui43e/ZbF
MwIVgts9oz4QlDgJ9equGy6WfvlRq2algVWOsxpRw10gZ/96UM7WdbJFEctC5wHsm5xx0Rd3li3C
ZovypLY2IO8HHxiJehpYZLJjmDNzht04fBpYMDfdSKn7KgVVHLnNfKvBU2xnU0nBSXRCbnKBTfK0
iD70kHY7CyT+SWnifJiT7W1OIzaCtpTfmMziS5yEBPWYJbczG99zBN2D4qhuO0YhcC5ZANdwL7B2
+te19GLMKe5P3k7JDT5pqi/aJqI8lCulO6egMrZ1SGxq32KqmOETR6LcWXPTfiUWaxRKa1vQPl7Z
hVh1U2AUcQtPbqPdAUt+PDwkc5S9mIR+x9xX+scKyjjOiZqw43LDHN1m0FQ7gfl09sMw6BuYWsWz
z/e0HSbRnuY8LL/6wXPuuqkJP5AhhfPYNQWPWbOUMa1NRtkTtfJem+5qTgcMpAKphC7xhX74RW3T
3v6oaVkGOdMtx1yK4dJPAqDw5atFKKrYxlMnyUp0JCQwYXLwZMZiTsMipjVRpSYxT2MmHRZvCIw3
NA6Q25y9Vm7yYWzuZl3ehxRKAHFKWrAbhXWXGye8mSz8mRlF53jWDjZeVAKGa2SuiUiSRGdEKc7o
2mkvUzIRlgu9SQGw40eIr4PB/mr86RMFyjmPHX0g2pbzOVmCGCxgQ0iTJnlgTph0pcyvap1P+6Vv
3aMGyLMNsWvsljjiS44n5zJ1o+dI0QrdmJELIBx5POPZ34zG6eB6WEv8UEw1vdNAJyy6VBIk04OZ
e8l4n5S73DKCcKKffE2QMxAABnOddxrzkCUY8iZgYMDsJDvHsD3WPoIv39C45yyoIL6X9m6Ylm/s
2fggCzB/hccHmzdleF3poTqGXf1tdGPrCRWyPZnA7dejBnKK15ojXE9x5AmkL2EYk2DOWgoWepnt
XMz2JxrqUV/T4K6DprwvC+ncTnzv9phjM5ftMDlHCyF3nwEuOLYawopSLXW4XeK4lxwXurdEr19q
HLjsWjDg3KEyBPtUsJrcV2UIzMu38wffLLDogjz72U2uh3W4EGcxBONLSkfJrpdTNRxG167IBuN0
3kUgg3/a8dKfPBd4At3tsoZTwQRuDRqNuEpEfBdZgDK2WQSZ2IvYSUwyVbD32+ZqsCViSGAycih1
GSR83tK7iIKCKt5hSIuLCMvKY0QJz6WtB/FEaCT8kXfUnW9q9sFHVMIk48EkwnNqUM7Z5ZXscKZV
vVBWcsGtgnRn472Kjivz4FjYUjzTAhdssKGDfyjmCWeFzKOvPitt1v/UW1V8CWVxl2ltPbHMT09J
3IG1mNLlWLJkfXVcU1z2zUxtwcLx4WYuAZjKrg/KC2Pj1ADNrJanLJ3nHzAgC25TnWUPLQnrhyCu
CLBliRfvONr225Gj/SHFIfOs58q+CeOyvIjpPz3+J3VnsiM3k2bZJ2I2aUYaSaDRC3fSZw+POULa
ECGFxHmejHz6Pp5VKFR156Jr2Rsh8adCMZFm33DvuQsGsYLLz2U9ynMQf6Z2awclqYVnRxv6dZpL
+zBV6fRk+HKgmlTRo+xr74ohxToDP3U/DcxY2xZ78Ke0o2NfW86GqdVD52XA97zYQLMI9V7xnNmI
gtIEyyUnHjMCsaYX2wS2rF2gVrVBIBE4tlRv3fauxBnhcTLuJKyXpR5xOQ+RD8TFL1AxiqmiYCyX
4VkNxnp0G76Cipnzm1QTKTV1N5AOHs0KNqEhMuuRK4L7DcjJtHCAWSpgRnAfl/Y9hpXK3ylZrTsf
GtXDmNsZzHL/K0sbKzQEgjtkusteTJnaYRdPvilaitBQDbiNeL2v8ke9VPvSmbtj0049VFsBI9OH
nbQ6utqz6SJF3AC+nbleDocU4ZEiJu+x1p14mHtz0l+1FLp9WtjaFi9M/WI3GBo4YHQiNHiMROIM
IGnVaaY0MFu5ZcfBIHXKm4y909TZc2nP8aturPQvIgqxR8yBc25le7sfO7N/ahZh/RhrH7gk63ok
OJ1AfbHG/hpmKdG3cWkkJG8x+zOQkH21thjijdumKb+ORulnkwL1Tyfr9RTPNSOnMtWIQTqLs2Il
pZyCrbc41ZyhjfeoCDmyu16O2JtK8yuPXPvNIYaze/VKWw0PUd0S4LBmhBKHVk9efVxi6ZoY6kPy
d2LWo+yH8JWmo7Wkx4bFKsbh2Igy6va+C4dyURaCAt5ehLmk39Tch2cklvclv2wb/HRukgQQUwXA
hYZNCH+w/KynJj629Sh/FCuT4Aqd43vji/FL0BJBjGna586xn1IDP6Yu+qBh13gelhiUIc/hfTNp
fmVuMv+MCW44QmpO37N1IggQrKcXKn+xf6h00adpmJcdyIf6JlapnmIi+BB7xDpC/QE+c2nyIxV1
ctFwmw9tP66HkR/h1+TG02WoDfVoJ023g9+/Zz7vsrDLlhMaZSsYSbp7rtBIX31G1fnG8QfT2rZN
ymLXa+EguAVetrpbO04cN7oSo/CTrdw3DmD9NDZmhMW17ZBsYOQTm15N/t8Rnes2Gct0ZwsVB9Ms
kvfO88ePOePNKYxq+MiKmAgsreS1gllxSgu7fMrvoZ82Gk/RDP4zMaUYrdjkU12lzR9bkk6FckUc
KvgDryvDy9Mam1D81mF+zy2JssLIk4eebIjHeu1kuHQA3MPSaoaLjmwmyBAAjiouk6eJAUAgSasC
F4my4HGkJ/3VLsJ+IpFy2C0r1sfeq7vbhDjgWLvtx2hqsq20JxbKg1JCuK8x83b3/W0+DutXAlpz
g1jxLoSS1EBDJj6npBZXEr/zc6Fy/zN12+hnlHLm41Xsj1yr0zOJ4svPlFrsgY0bMuA+Gq4jiMiX
gSovBzxs2rsVK/5JslC9Rj2P/NRz3qN9G3+maVeF0TqkX4vyhMO0lJbaqiYXbg7N2mZaeLtQm8KA
B06wWX3uFG92pm220GOxSt+tTZJdKzlF71DZ+5NDcvi7UfNc9Ykq6QSnKvBQ4ARlIq1HUoIFzLVp
DtC2wsNeGnFNjLL6a8+aQTH2SoHDPRsY4nPnbZYqkt9sa+iwxq7soMP2EKVX/NwHgwfNQgc9GYS6
sW35QJXFyLg27OYDDF7r03dpCxXu0ry6nei/MsBIeuPmd6+v9tvqs++L6GseTHzAfsz5cu6BQjwS
EB6/r/90CgMlwjUM9oWglSwHAxAPM/0V6Bf5a1KVeq9FuYKEcusv7IMNNEbT/WDijuoZdcslplLD
RsvZwReUlUFe4YlP75Jx3+D0tlSHYRpJNz7Wfrqu+TR8jeU4na27KRotVxSieC0OyyixTN/N073H
gQGVj/2Qa6a7OC+NZ6fInW1WklhguVsU31O9hVtSfddVqwC1ETnlHAyFOtvBhIQYY46t9+qf5u0m
1+nfybRJgevMJVzQOirwn8zXN3VF3nFODxnE2PUOvZviX+ebj6kJ/mkQF4zOS3Jlpu6ywG/6IfzU
enXxLRAUYa18DUZfI8jzemhvcVy922X7t/+n/bwF5kxEUbT8ralBj4ljcAxBCUaBRD6NMxnGHlbx
rzxmsIUKDS3nAsTAWVAD807PbFC3890HTzH2ziFTn5aufzGjWezjMTXO8d03798d9HhIncBQ9SUf
cXgko4evoLdvkYzKC1Fm9wi+fxrydZQfnaGqzjOBM8dUozuklcDAv5bdCAA+kfdrqtzlyJUCHwgl
V1XPm2asZz0u3jUlYCtg6MGiwI9g9fL4/GJ0j4s2r+qSjy/as0pM5zrRQYHuksMz0ODHZU1Qvepl
fs4jo8LnbckOb7cz7wsDfQEIlg6Jg3m7z4R+mCoCN1M2ID2D3KiyG5Ud8gOT8+qasIxl2oUGDRHO
HUM9ZjSeWDRXm/nbir8H0cW7iUJKwbXv1BOlQWFvSZKJbiJLTVA4bn8Y7ERtM5z3gYTTA9N54b0s
WFIPhVVGuwFtOnmAY92d7Y5Z4tYeRfTRxpPY9V3T/8gWaV4z4g36jUoMDnA0rU8yHdtry2fb1m0b
PSaWKa8m6iYGZ6xnzyN2n4Os8+wkoP6cm8Fszini5GdlFc2umhWTPFHxni5Iwm8M1/qBULaeksZz
MW+2k0G20Go3WRjby29/bUH9iRjoXizMb7DT+XEC+/6iOJkAzY84nkmMEOiKPKwOGRTWzjHXm98z
fUuEC3bTykrvqrFNPK2Ghj2P6In/y5DVQdXz+qWnwj01TpO9KaflFERr1DJvVBBPGF5h9zCa/kZP
IN5Vstg1Oir8Iw1xgfhm/o6EKmxid0GkluOV7oTx5g1Tv8kWgNjWUsb8NptEh5kuNFkWAoLh4hnH
oVANukbY5eTdtz/NlALEiGs4q2UGad/vMXIhErXK9jaZZAh2OfJ2i5U2tHzk28fBxpNMjvm8kwXX
aVAlWbNsF2yCoS0T3vF6YtygvIVVYd52FhePmB7uOUXv4Busd2/GdlCMS0YYiN2t0GwVBhi3wAS/
Ieyiec3RwZg7JHiaBDl3yqodZhmzPk9JIhjJNrXguWX4AXEij40PqNT9yTPhOgBFYDjAlj2bntcl
AVlduyp9SViQz9QzBsPe1VEOMsA2Hf9m5ETsWeCqn7lY1bOn/drauVVhYETJFAZzB5kJkxBiB9Bz
FuQgbUecdc+9Z1Miz34qwGkRVPAx2hJ9uWEuK/ya2bSP+m6jPK2M+l9Te60+WzwVeyOr2pseJUD2
2Gn7J3ypEADEIrzHZmYQJye7ZAs1/HCstMHfioTWsnz/p1HLZNeQ5r1JpStPvSfK9wxOMntxT7dQ
SBMRLpVVMEgZCPvO1rAHL/agUnyxyBT9+mUYJh2Y0bK+Mr504L8L91EuEHCCbPaaC4B7UimHVnrf
TA2Us40rAXjgnvyzQfJh2GjiZoKZwIkh5Y9r/ZkSUuDQjIjlOpQ2GdnJU9q4IzTmSvmvOZkQkPvw
xeWqywPyXDVxmNwEh55rBi3fmgy/PKTUQAkXPYK1hCQ2EURtOE8oOKTeNPNS+EHqLnAGBsmkNphq
r8rRHdfZjmtEPBbwhp/kItYPBufzk6FGQmRQmu1TSD77oW/km8xzfZMNSq8U54y5q1NB6CVW/Vs/
EjwX1rOnfg5NnvxItSrOg2FNj52BlosRpJXYRF4gTuNXUPAnuRrOAzIxT2wH15g+FxgDjP8prneJ
o0lRS1J9035ndxvXzv1qm/ODeKqzDj13TOLONxmW7giJ3LJe4ohB7wazCBKR1BUhMkoaaBChIPVR
/W7RbtFI6VI6D11t9c9tXJu4DmR1WwyCFTE3p+2PFaH5g4IkTi+P/OBq9gbu57S6sxfTobXeFBvs
c4prF2tcm5povEfmn9gAS/eULUb0O83L9ashx9YO54SCDSFfewdXYMYM1IKTaL92U/HB0zZNW8LT
uAmYeupbb8ro92wM9wOOl8ix+EsuEuajtIb1aorKPREwZu7jtuzPnO1cQL1vfvf2CIPZr7n5UDYY
b8pImydNpvBJgx+72PMwHVeZjH+RYad7xWML6dvzWzBLg9Z/VBYBMi7GgB6iyLboLKpDZa/uyeHc
Dia3Ll5skAQn7AxysyIC+66yVjbbFef8vinM6pChWaVGixFbWQ2gqDAe3fqZFonpd1P1b/kkvSdc
NMXvtXHdl1V0/NFxDpF61CIAJA6xwyfAuiN1ibYacnMOR36GL9XcD7+5gUqPwPjZfzVWS0bbqiRT
NKz75HEs3f65rnOH7QFnC4Eko22ffXMYHkvpFucGJ9WrFdWYC1flPiqNbn5jLuX4c2Wsdr+QJ3H1
RhIkoJgjp4rhUT8DLMuzbeJnonkh7mF9wsnNb4TiBiBUqp5YblXHwrSS5x6uz1bkmhS5qaXVsOsu
7DqLRIFkjm7ltKgTHxbfeLuNXxokCFDY+pNUQyJE0xoHOjrChxFDxOOiy++WNMsyB/3ZJjWiisxf
rmpY4AzPct53tQsOOPFfFgAdYa4KROaK0eVxQFKeoVbF0JEJmJkShjvET5eXZ7njQAre601n9PMO
2cx9QzMy4TDSMjpidRt+ukmtHiMkxGiEpe6ebQp6OoHCQbnrwQzcTOjDTgQGEUa3kOmDIV53F7ar
v+sO7cmmGXrnlsTCvc6qtp8044yflevZziYH9jLQ7rK+SUaeptm86190dBcJgis1mSnk3Sj+NlUE
ra7H0lptrbo30i1j984Kcmdeyq1DiXAeyZ/7kDFXVlL6lCwJE87cEmggbLYtcOSs5p196nAs+fmG
STvUB/RjXoCciiSRBQn83pSkxVRJTPpvOgzlTyWj/srucAwLtXh/p77qzzM5vsyCLe+HiRAF7upY
eMY2Nyf/ROwGhaybsbeS60gHI6xkPveiZ5RTtrD62OYw7m2cr8axK3ubwD88RkbPE8mMJMXYkK9X
1L0ccr7bNneRXPLiVOx8oLfNrwj47e96XvQv0rGHV+BaxG6pXN/P/4hwV+VnyPhXyHA/25z9JXY1
mh5GpJQma0mPh7OLw3gaYafyDKE+JehgSK5kPJm/Cul4ZTg3EYblbuHiWipfHaOawDe+KRSQ3MF6
mzRyOi7OEHNzVXF97HqnIUA3FojEsqhYPlovF+xtEn8nRMOdX7Xge8He1NG2JiA7CgY3Xa9jGt0h
SLPIT66v+lOsSThB/Le4v4FIYfslQYyiLtc1t5VIG4xblk/uTlPesQgM2vKBx5xbbAMq886UJNym
vfha82ny3I4PUV/XPiot2yIyrmOPIqoccqCr680QGcaRIXvpAqTv7/9h5qXbkKku3tjZYhCcWYi6
25Jg7u92Sit0rljKubyoXQBdQ9dzuNqPg1laeeCKVX8ybxZhl2fGa3zvrnA/rLsx9vWwtdkPhnNq
5oFG5n/1/El853Z9v8RIRkQIDMbMtsYp2jmoCLY+w+HzWpoWIbGtfljw8m2BAjAkLxNk9m0nQo8o
Td6sSYRGNj/ZBpNRIoPprjEpUISflqgqjh5sUxAqVh/MSzv9sRonu46UEw/ifjrHK6mvLmbIi4EG
aEt8agXl0iHDxBp789M02vQBuC/eqW4WYT2YiNLRseE7k87wmZCl8NRNU3Wp85b02MQyQhvHzbGw
XJNgtQmKTuN1l3Ksk1u0tlm3JSYhDWBHrr/BgCSHGDTrEaofIJsRgtsM/N7Z/fdlP/9a0PNfND//
b8qg/4/AvWhzUOT8j//1P//Npft/sy+q76T7+lfaoH/7yP+QBlGG+q4DwcKC0CuRG/27NEj9w1Wm
gxzTB9/KX0Ki/e/SIMv/x5284Zr/gcP4d2GQJf6hBDNjn39O2cL0/zvIi/9TjW7fP4WlfOpuT4FY
UHdV2X9SjSk8hhNyPZqiMZ77FyYAHkU1IlU0t7662YAM2Keik9iBmq93tjlk2M9jJ/hPP7Z/IUZH
7HTXvf9noRBfhuvRzaLys5WESfxfvxKT9QJLU583xOr799yjiYvwTBynuBSvI4lRF42DixyTTRlh
MGcsB0bLN0IL79eB/8SGjnyxfZ0n5U8nabAuJykBKoVKOZ1xrD+awxIdVyanweL740NC3DjZe62T
hzZa6qekZ4WcMsg9Ivno4BsZ67DVcUEScZcTqeO4sBbwpm4Tc5w/LSxDYoeVtwoz4nTOisRoCnb4
xduMvw8tbCTJiK6JzYBRCeYN9kOZSgPfcUaoLcJN+YXfu7g6kowumhXIgRtttmeNGTslGOUX1un1
28rxb/g8BPt6kfh187l/TIuc6oI0XfTFDPN/Da7XH0eSJm6JPVgns7YEEDFvRARhD48xl25gV7C3
cGOfClIkdYpRuoRN9LZQuLebzF5gI2SW+rRG9MA1ErK3ZCaZbmxyeSQNIdqscOsJo4yNHX/F3Gs3
UkE9J92ht03/EhtyPrLBs0iCK2hn4gVFRDuel8FIHwAxx2Ezt03oMiXPtwwWJdrW2QlhYrLtddTw
6jD7Dvy0JqwmJoK0qGbnk2TFKOwW1gWyM81D08uVb60Fw8yArqQKu8YlaeeoPo2PeW6nXQaS63BX
RyKtoFJta6RbkpL/uy0zpvtlXj3ZpYceLFLGeJ2bsjulsbQDSzGe0fPVTtoDqocz5kO1w7GosIK4
N6J4YVqZOamJK4MOUQJsYiHthG5e+ftcLkixe9UEdrIUB6Y6QRUBh+6zMuxVD7wshZ2URC3rnr6C
YdKhXCUqNmiGrn1o8nz4JE12gKJODtcao2djUWj8ctdWh95ULQ+lQ1i8P/M8pTxWO/sug2gAzd7/
l/qOccPsYbPEHyuEzTtHflqusT1XfM7aeoLRa1GtT/rGQGllsEPXDE8xJcKuuqX3vMikHNd9Ew/D
U1E4al8U9vpkU6LCMaEkLCUStUmt6SPxG8QZkYUVSoEJsWJVSeYzwyIHT0bQVabYTu7QHOq5afAT
IunymcETUZ0nYeWXOL6TOKQtKF+RZs8bd+lcSLL862PSqsOk/fWi2ccfa2fw9hWMlVACFCPltXRp
9wzfDzvMglutoyboYpkeOpZnIeNPgFauQ7Afc4uOTbV0JqoKUKQPJZuLwGi0i9+2XEquxkKeFsgG
m1FqdUt7Qz5Pegb33T/oZgX0NtXO1avtZY9obgrsSVnX2EtuPodMiIDzZo4lmSYz8cJmRTiiJdPf
GGKSvyXS961fDBTS/oqm2pqZR7qSFotT/yDHQp243lH4zDaKuGpyAO676kbsC54AaHHPccXCTjRe
elLZ4ByGeRx/d3bRPnMye8Qo1N1P0YKyuZPHKGlUmVABjOBOHTtW+ZGyf6t5+LGQMbFY9s5KdmuA
N5LxVt+0KOSSnEihHjMJkfbmXAVjBx1unJs4uMtRdqSbS4ABHnVzFMXJFv2kO6DFMCUZsuOEHMKS
syKTIGIZbkQ3u0xrAEKOXxMwmBT8npkcDc6P0vLGJ0PUAAKQ8XXvPZNEOoYovqmhA3foqOkK0HDZ
caYt+34hu5VmI/mBHJKO3IvJiMDwiWxTS/++MGGqthVEpskLsmnn5Np2ZIey8f8sBCzER4gcLcb0
oTp5Re982qlPhk5Wl/ZmGuSdAeaqPapNvW4A5Dd/0zpfGnY43fDX7b0eeijGi5JM9UOj6huAtw/o
hv2hQpXE3EU5GxCn6CybwvJpwhT6/dVc7R+FmyuSEZK4/rRxsB39DFSlb87uMZpTb7uUJb5UcReS
GMROASZuo+KRtmWy9mU02/qosmXyUdrDcflDAGI/PjNRtV/I8pB6NzRG84X/T39Fkaje6yIxrm2s
SBmOai5opJB8ttJf57cmszuDSyqy3+Np+sxJpTwvHhmeZ9Neuq1Sd2WqAyRoi51xllt1f/7jppPP
lfZKj3aj6rEYL+qvtQjnmauw946zmxXZE2Kv+jiQ2/4ystZ7QZOkWeFZLfpCksjav4jzJdRZdmkf
VNXyNzLA5Tg0jYN0aVJntUzeH79ErY5gEIStwajpEmU28z6jndsXkcDGqjQ/1TwHwDRZhMfhE2sV
M37VosxV7bPNaf2ChLU9ZJUx7eI+xvPLZMtjOm97+irXSB6IpIpDl8HhDh6vuxkmnAN9Ajr81luR
m52mnBX+5J0zkRFUbqPSMsllbLYZJCfzo/a79Af0gBFaEvAS0FNwmGSY1qPzU2FOqm4ZxXYdYvZm
vdUXnhkW1j2eeRW+9WRVdMAGsXtPyezMn0XXoFswZvkCpqM8+Vbv7ITEjR0VRvzG6Cw5UtXkZLlO
/BPUWnMWyKoj70+n876txXC2XNvbUqUZT84i6r3Vjkju5rX+46Za7JAJGJgq42h663DNZ0GetdUd
/g99dslLMYTrehcmrskEZwSUsj7g1BpRM8VHmjf9K3GNGQHuknzEBH5f6WSh+iSAQyrcI1uISUgd
Ju7PkrARw9fE/pR6vYFnJTazJTthK83SoBbz9oDSi+RuYSoRBeZRPehzgysGKTcAUnFwYWXOp77O
khPlTB2gW0BzSdmgXu1+TPQW4m+FtzNzrce8ZQE0L4pHARRav8062T3zUTsnQ8XboXTAfO4wvitM
9zzHPTbqeonLoOq7/rOJFLGhmbOQoCSGHb1fzHUkAaq1OJlqiEF75kjxbUIVumPEvxxtxhMXBbiS
5TYsThJ0GvtPYh7vajdljl+QJJET5ifhfnbgKgXm1ghKMgrMX9SX9W6wnEYHlV6mD+IA2seiQ7cN
8rrIA1Al3gM0frXu6TJVFmC62XtGngWwCQkhjxz7gIdW7R0z9RC7qal9AA5BwJ0zWvSJBGPqyLQW
hHymIOy8XjHh+eX0mCAAY5SJcPWckqH+Oo3g5AXbgz070eKY9azgWSPIPiQbbPlDq12427iesw9v
8KOAETT6VB9UFFo/UyL4ZztWl2FdojQPddWbWbRxpo6rdroH/7GLTLfIZlDDRQDcDo6e7eNad81O
ERt6qdzRfMhmF03bPObvmukn9MYYqmg2W2508EkUKzDQZNUFIwTxeNbqHPiW562aLOMwSfyeI03r
oz2Lnroa2voLp03i8OCOYxMkOkXCPUQhqI7plMf+hV3NTrp5EVL0NPs4qsjPcRyg3GNhfK1zNPT7
Cf3QCfTNVysNbC/STTCyraL4M1YuIDBORW5/ZKybTtt0D2RNEAvAyO3qFiwEemMy3xsz9SHfROSQ
mzOzTN8YSAYW487WjCky5iB/QTAXIdoHhLNOeo8BdscU57JrcYo2xjvbY86QRUf4dP2mMvektvXs
gJz2eZ2VfQ+RFPKhi0wgYf6qv5BBRE8Lp/hexIaJ7Rr9W2mR7zMW/R+QAeVWxSaRiQ7pa8qJI4rO
1SJBdCZWnaKA8eRZ8huCMJa74cRA6K0Rrh0qLppN0bRZWKaRe12SInm3xu6hFWrY9Xnd74taoIXp
aW4u93Dus8o7l4NEFOOhpscI/BiUoWk7y5OtiYS0i+pc1MWbEuUfI/Juw8RMLLcS1GI6Z6dFuj2D
TTj3XdZva9dltcnY/Abfrfw9Ld14q6m+2NsSqpKseXIgQmk+udavHGwaFDN7l0soQ0wZD9KwE3op
QlzvcQM7iwuJQSh7Yxz7cXxQ6bhsI1Kd6+SI7e6ULOrSVfE5X1N1jd3YOlceQ/8cizeRhmwgg8Ka
DErG8tub2xgk9zS/NrxMOyBh9X2bB1KgzdMg8ab8KV6oaKMuts/eMNpPtlV6p8nEmjagSsIwgBiX
4MbsPC4M3Tey7ixKUNC2PIbO1iVXPjQ0gNQaA2ZUKIViLD15+cAehYwZL9mb7sQzvWxnfMYBVUd6
isB3bDuR6XMnHDNAOA5jaa3rEcJsCTCNVN5NbDusG8q8swEv6IOdtofWpIZY7cnbOgI3Hbjl4hit
JecfO8p3K2pqjCjlYtwn9cY5iVsiNZgp7pn0Wx/Azu2t38bFqdHrGFiIga+F4dihM/sTAYSZ+OlJ
T36QTdI8UwFnjKvT6T2vovoogW88W9PoPOdrm3NW4oyAMdsll27IkivChDU0Kdp+43mnhbaABW7s
of5GsI/V2EYY1KIdKSMnALf9y9TcfcR/oHVzyOoxXttsNM5imbD2zixsjaVwj1qMAODV7L/cxS5B
FbfZtrYoYCe3kiHkIS9w3OYCJ9MCA1IHCn1HInHuu2YJ2lfn1AlV92WpCjWkwQ7DpsU/9lIcGAwb
JxPqY1hZ8/Bwz6JjcpqDtk4wKVSw4O3uoRYframvI7iKlYg2MagfeTLfqtm0DnmiXzw/28VGidWm
O0Rsl7mW4IVF1j2Urew+utj/LEs/wOb/1THY2BYdq7jYq5LnTI/lgXxRDnbWYBc7nwXPcVcffS8H
SZ4gZdX2elZdYoSu4xWHkngge8FxkmdJgQu0So8k28R7OY0vpqxYgy0VfBLwLgGCtjbn4QB2bzo0
VyvemN9SZHeJh5ut23SuVJCNnJHCNA7kh8rAGQrWWz4Khjp3o7MGxRcarB2IsKPTZ+acuRcALrg4
tBuscDMwUeZsJt2jNSZnqxSHVZZtiHbReWsad7iYtivf0sxuOHOnAY2rWLgY87IsEfhFi3enf47O
bu3T5t2Y/SLwJC3KqtjaMldvzkltTi+Ni6yWHVO2IHz20J4mIjsNZfun0g429XwxSliqZhVywJ/M
hth44qB3jJiaY+aRhNyShReIvFuuq7Am8g+F+Vvy/cGoH5l3gx2wGfHCRpkyD5/+WDk70l6soHL9
TR9j2p1abe7UNGyxf5qceWhjlWE+EyJD/rvQ/vJUQlgQ5M4rMDFsGfZzWpEWiWXtCDUh3yLg8sOZ
qHXQhWS1QpG3A9WombDfyLtMskaDb8Irsv6guGOhyb7G918QVQRpIh+XlGSEIf01x+MfGNMsysym
phAXrcbYr+L20FtkYHNtGtvZKcgDFoYZ1kY5I4AFa7dxjfTAzXXIwVZZJEbMNvBjdM3QacoDWfW8
UOR7cNv+UbN4wDPh73t3PeALOjskiG6otXbtNP3AkkuKlQaEdYTnWr10lrk8yCj5McJ52na18S5T
37mVmR6+DEc20LnuiZ2ULS4NxFG2dGOUKMaL9uW1loCZM33nOjfq0gq26pkjPjnAY7YUrfMusfmQ
zqeWwFus99JVfpApr9uuXbKjht52mAOXevgzmkggJ67mje926J5Hj91Rqf7mLkGrwNpLvBnJXL62
AH82rLW2aTuRcMUFvisjDD+l3BfV8mk0ns3bQwRWOkfIcgu7GF5osnEA2ek1i6Z071vD49wVlHoy
TR6TXr7B1AbRobH7WYVJvWgxMXJxCeJDSnew3QnzSEXBKM+yH7RWaIfBnAV5l0XI81UoejNUHTjH
Lcvmk51fDN88N3Oa8jpWL3eL1DhVp8jvfZDfI1txX2OeGEc/GGurfEWlrT/9ajhl4Ik3BQ0Hoid9
UG2h90OToskt9FIf0wHfHSp/sjatBLNcjxygXaf4Z5xbCPJd+UXL/yqJV5sf0Z8ALP92mXO9zint
H4H20TFhMhRWeroYZHVsKrQuO1O73sEWbKyrebzFJeOWcaybd+Iu1gMqdkLEUtCjodVAKqyGqQva
ZmkuwmViRtsQ7SZ3VS9salHvm6u+1qutmWUK1R5hC4BiN3QKG11fDBcbvj9nml+UGe8bEaGoES4E
ihYS3tvkaPuB5wxK5XJZVNRfsgjRap2ZTL2Oa0YOPR/bo160jaOgUwxraS4Bn9P93axRf8Cl8OJH
2Quw0mTv1lmz7/wmf0dk1gSt0z2OEmUCwi88EkDBoGYYZMFxz1MnszjNEuBYomielYnQAyohtBHX
ZrXNOvy4NnmzBdr3w6nBbWGGSY4qjcEBwu0P4ikxGBEXOdhZxjdUy7OW3sWNG4JmmQshPyJMOQ8A
gcEbqxImVK3z7TLq2vQEUz2yn9NPoOtbdrX3ebhvujOTVL0jAS7+yFcnRwBZV6dKKt2EfZqRw2xE
fYV7b0HXMaNo+4kQF7tlLh3iuFDM1Uk+BiVqgyBdTWDFndsIg3NhKSzC7t0pvkxqOVfAT9/hkq1g
xmg9sLFb1iv2EGQEAssCWdPELVx0T0nmRo11IAzZPGMvqXg6q5KUEL0o98GVmGujuG8PfIgMTZEO
F3p58Z4iRDxag0IBmTSUjhiyLjO4+31lSPNJVE58Q6Yo923SZXvExhRAlmqtMEZjjl6iKZ2LCWWi
o/gDFie6TcaU4uJ3jnghMDA+FYsQrxz81W1UMtlPcXvPFevadi+yUrY7baLKwXxDLgXNf8PVB7dg
sduJMRsSftR5i0i+PMV5sUmRKr8Jy7uOvgMrYpkr4grIp7O0/ScCovnLRJSZBMKT0XdUpOXr/+bu
zJYjt7Is+yv9AQ0Zhovp1Qf4SDqdM/kCC5JBABczLuav74VIdZWktMos1Vv3S5qlSREuHwDcs8/e
a3MMeZO+nUJ/aa5mpx6xI/WbfhG8unnYt/ME54ez82kcdX6uNsKX5xT9fqTLi9124u69ikgDxE19
25ctvyLkQZoj0vmOlea4Zo/QEgkgmxDM6RJE0gUCndMxUtDyXiayuvVwl62renR3bdw+9VOc8+E3
L4lR1+sGItYuNW0HuG5EHlZT9bsAKhyTL3UBzVE9AqgDK9yqshlsovAxjn3/QO0kx52uXDled6KX
V3LDG+VxMt3vhOM/oDn6jFIkKO4EI54NFuX4QrKch4malyqx1ijOzlIp5c53QF38awymbY3/pgrK
1vwE3sWPEZjNzZhzNm7kQg/D6vOjd6JoG5b+u98a3p6qhn7FKUmsJ6qCuXlAmmZFlEkQDKax56nL
aGxSW6cXTyDT7FvT4OdHb3t07EZP2zPYDWBbsmubOBo+fEMPIG+cDQ7qymv7nTWjSpImpsEgVYV2
2y8pIL6Pxxg+3KYgmrMRLKtXBHR7Mk8SCb/hzWfVGrfqhfIt/cwmd8Ytasuj4UUMxWnqowxR6tIW
4z3AeC7OhmCXOwzG0Qyxm4wQwYn3POhcRCvdHoKmd/FSttljmcnbidjVOnZoXyEcBceZZsqlFKib
9T226pYYackyqUQaFduWtnAQXG5anvzSoptX6o3gxzwQhjMcbsiG31RPk685X6XtolqWsU82rQHH
6mOdx6cNJQ2HYsxInVZBxW3xpo1VeEficT5OLelhz2+zdYrj046cq6OkH3TC/+FI45SByiGQTlWb
jT+mmayrz7mIcH23buqEYs7meerkq93DjasUVXr1AiRKryENLZuZBctDgwVmbRKbvreIkZ1qVbab
PnLiZ9uUzp6FOkeaUVHjhfEEyJK7qeNKbF2v0nZ566+i7jqya7qJcEMfJdfaj3wMk3Cd0dtIy1aD
9tLZXAFRYZ+NzmQvVhN42cKLPUa98DaELA+Gw/2UPMac7DxsckwrnBZwRk08TkDzFGvdFjqSIyQc
q859vkYvN5/1Ol68c11lH7wxKz4I1mIIqDqzPPOXyiNV4k+th0SVaWZQcn+78Sd4sWutH7XPOeVg
xvNwuCbD3B/Ap6Tgz5pWf7WTRiMVlcOz4qf8PBYZLYRo7ETEulhRgpgRISTqk707o99/xm7LXIdo
4PcshVL45ydV2AlR2kR0z3arkkuvjVzGU8qXwI5piG8xt0vKt4h1E9wCgv9Ieksd4rGcuV01ek89
kms/dbERF7sMUs1NQd04WchRiJLToJldIhvDxNrK8A+u5igHcOl6iagIPrnJE74FDL8aD0nYxGYS
MFGLvUuABQxmWZn8uxj01n469K/SLT5ximvrdmo/GcsXrmFSyo1em58ZBz4WbjOCFSArJBHV6d6p
N6k/X6LVZbPpMMHdTE4Zc6TU7ddCplxL/GNd3WiWoz6szEzcNdz8Mqi63v6SHMiDuRfOwQsjYDEZ
0mrXgIi2e3bCjTO0QZVk9rVzBHe02I34oRCDN4Mudqwlddqwf4qnNYEmf1G6yFQpq//Jp9MFRTua
a5f6oL2O3csZBWvILAQDIYWtrWUos5tWo8oHZS0O6jInXEcdGoD0Om9XYeoAp54AFkSwZMZ44xqh
/UG3XNtvgerWR6XROmu2tFqbqLJ7F2L5JcNXpdYLg5RVNHFTi2acrhfGmpoJlwffmARsFHc4JAsi
cN6PItajgGI2eccPvyZy53eH0izNC8GFHz5BeoztnGlX3dC/iaoligpkdkth4V0X9xS7V7m/6ihl
hXtvgl5u83lTT69VQsqXmLhllrdsBOlM6LByRhXYnSltdn7izc9FT3PtGOHi6yTwqXE0XJgRzdGi
GGM9unOzZwqMA2VBHCADxb2+c94BRsTTVhYYuXW/b24kgIbtiAR2L9KQoL8sbPHIsmkO8E6H16EY
kqAlhvYWghPIZkSHFBbSpWia/LkghLwuU3rbaTdOrt3gW7vedhbWkV/H2Mh4MMxrOYf+KUGWZOpI
pXyMO729J5WW51szT6CD5iCgTmDjORJEGKo35IgXAJu7DmdrfBin1NgndtfvxOgzoJXLVi05YIFn
dWph8lme1C6Dx9b1QVpVGAJWFXb+57GrmhWmYirBWsjDLGaNjUyGfgtD6pHJjFNKK5qdV1bWDRUR
fZBPWbKZUvOd/Vt44iAizxmnSVyzDDQTCWYC8Nxqe0mWDYRAD6Y6tl9cIp55pA+BTKxpr9rW3adV
1Zyq2UjIXSn9Ph7MfseSAZmzrQYM8pxa6h0sw/Ah7kfnFrmStwI7mNhhIU6spslspnQ4rBz6TG6M
sLPXbNdIF5Wza2KjoL3oXMyj+z1NBZ3RbF+YAdm6jcehId3riZlfD1rqYzSL7mJ11Z0WzZsCNe+m
hsN3EJkr/ZXu2CV82AgxrtbtmX+h6btAQpVZw3T6rgfHoFnYYaXillb3lWEdCFotC/dWRC5uVarK
3GFINU5CH/cZcdQfaY+NZ+v3Gp0TkV0kz3y/75NZy92IiMCji706bZUGY9sY0jygXnUh410sEpAx
gxHbpPeQ6RB32N/pGyHovMdG2DnbIXVYKTaE7KcZT6RXAyJuJ2u6kxPPx6p25aqNGQzIaZ7cwlZq
VTk2Dxt25pz/6ylO7tuaoOAql8q64M2kXqTU79g1BAksDjqmpycjs9OvWcuTR+U37hcbOP9sd8Yx
6aRVrZi3Fw4YFQv4BRMD7DJMkleNheylNGqqjAt6IIlxahs9tar3wZdL6w3eWWqqEgcpmDPDJxoo
k4dZW5fIxOuJMQjUgVfkFxb/46GMC79aqVHopyhPuLQlJs5es2swEtpb2IzNO2BPzVk7Za+fUJ95
2vTSlp8hYiVjghgcQC+G3OPZ8fmCuvoFYegNysrHMPoZj3GnebLMODsktU3ggMdp8mowf760E548
7kL6tB8azunMGoppigAybSBLSaef9FtM9MXVm4ikhYXnXNo8d7dmlQ37uUjpxUHpawNDRaUAizPg
yRgwYg5Moq22njJr/WvASZElgtltrmy8qNFISgMVI1Lj3tNAxc+x5u20ejSvJWS9s6uxeW25H91j
8tDWM0o/QdBxvMvsSOxNeNav4P+tJ5ISKV6HBThk4e9eabRN7xRMLzg/aWOAjBnQnfQm91h4tdAK
iCLQfYqZyI14EiTECKgzwAUPCCja4P43gfDA/2kLE5NPMTuE7WHCyo0D/2XruepbGvTetUDAiWBK
7AxNms1b0yKjhra/TnQDvg93U0gMU37WMvPO7olYK6ekeM6e3VtSnxB2knH86DMLbKHyBu+Kd3Eg
+WvP/i1IvPyeJa3/YEIXvmOB7XzA+SxO2uSwVyNCf5SNS8gkijLKKUsoNQK0yWGy2leFDp1S5wCo
ggbuNMBJ0+x4lOJ3Id5z6cz8Hgteeh45c+2lr6yNGLznOseTrwjDcJT0RvlU49e5G+BPjSu9E/J5
rGd2BHSDYm5K+mpdWfNNww9iDcmuB+syuQcVp0vBYHy08wQ5MvS8I4zt2ypM801n5d6+KKfigJYB
mprwB1fEOByNCuPMLBv0zcZ14brgf36lahnXh2VZL5pj3XtN+OSP1XAXwzXfuOAKEYQU9OPBjjf5
KK8xe8IEN9Qe2BDXj+9Pp0lWKK/ZWNwSQWrWRZMeLI6z18JN0A0Yos7+lAPmYXiybirXL/fofp+e
qh6FPp2iiIWRp9nHos5Z2kDk6fYyHPXXuKmBuGS5v7OFyJ8MYrA0mLCTPhSyOBql053QBPCECHvc
JIZZP2cpH5RHZHbFmFyTzGJRrbN8IN2BX6le186QBRFklL0JT/S4WFDXuU6xxQDslj4BoDn6qorY
y8ag86/cpnuIjCIdtzw5yoCdpH7qzP5n1RhoPSqy92EC7WaVsYq85b5lr/F/TUf8BILtdATSoI3G
Ww8Qxd7vvPkei2W2nSnsu4B/KO5rDhf3QzuZ2yjOq7cp64lmxd3Yn8YcckHsG963M1rhcw84ZxXP
DKUo0oBcuPJnMk0JSNsiyaYNuWVUg7jUiKWaBP8LOz7IwS4PeeyaVyNxklurUAjlc0zOwB+s9g5t
IP7MyOWBGKowpVsIkdgdDOc0OUq8Gukwcj+bFarhaAP2mfxmPaVjhm8rYZ9gC/+zDn1x5KASfSIS
coaQixRl1fKaMIRTPd90ZJ7a10UKetFDXFmUKOnt20wlK8XyVvKGP22+oG1QcuGH2nZufPkz1oRx
T3iVzUFYZo+hDOMtawHG+0IjUO5X7oOtA5OIwR6uTVAV933E+nxdiS47trFMv0vD6ikjanoWM1N4
gcRt23gnsnxPH4XAPx2Gxy63rIBIPFsF5RX6XZZNwxsyi3PDyoqyxtLryDgPQl3YGIiHvGMA18op
fUhL7UOqxgvI+4KNyMIjsQFCB1ChL1E9GtSL9siKKdfMqsBDzTMx0TAGAVFqwVsfFHZxKFMaObmZ
dfHKHLpmkxVuFcwNQkYl4UzDCjC+TemFJxw6FdxZjQgP8aMuvnM4HAQs48JjXnIdgkXL+dky6jM6
oxawjTLvh1KF95RelNsII8BjESYPPF0589jM0jx+weznrssuLU5PKgXo61CMSz69YvGkZS07a461
FD106YtPwBAxWgvj154CbrnyMzkgO6Bvz/hquEUlWhq4dK8Rd3DmH0WVODsvZnun2tyiJslmjydJ
r7HdmR5Qw9q9bYOwH+ZFe6/0Tn1jrpnWXhnZD3NtzAcS6tma702tGLr8Y5UODpoGmxguVYCZAn7t
1CtgSexVSVpgy0v4WbLBzsfbPmmvRMhanHFtH9DW6wW4yThzRom2K1jdPKievErUK3uvC8J4a+UZ
A60j7N6/Z80hadbMBewoPgNHKCtIMqc8gOcMbxvZNRcBv4rMDv/9EVwHtHxXeHzkxk9uONpNH05k
Wp1M8yiyyjLuQf8br5iU0symIO4H21hTWvvTrhf6rh1mbxnIB1YoWIafHEi8exv31V1P68Z76qv+
1rZYuqDTYoalOyrjjiSL/wEl879hl/9/yAiPbx2k5L8wwiv1I/9j8eM//sA//O++8xsha5NHAs5u
hwTKf6AxPf83XPH83Q6+XGH++ie/+99N9zcCUzbZBYc/bHgLvfx3B7wpfjNgGftEM1zbtlyIzf/X
of+71Vz95f//rz9w0J2Fv/kH5zkscF3HnE/21PRdwWv9xQNfxu6gx5qCpE1n8LAC0xcb245yMXKQ
JUZLLqM5u6NNnU5lHyN/scaW0DKltnIhZLUuEWVi0m4D/bE1gsLTiT5aud2RiNK6MMG7Tf2S5zeQ
biGx/5yMxaCo8RQ/UsnQwftDy1gLv08OThFtJanJO5EU5tVHVbqNWJ4yXGoFvBE/OagoZCdtigdP
VGrNJ0gDRWU0mxIT2Q0+n0B5QJXEILe2Yx1dehzdiiDr3AzzGmtesTKXG9LceGXgIiBvRNrhtrUx
V5S1fxNGmnHbayraiTl+L4wkOU1mhl0QaxMGSLoNS9v64kZqr4defeIC83C6gLxogUBC0QmnAz6k
9jqDEaaKQ4+//JrgfTYZ6kjB0g931Lw9CTFQER1Jp8HnNb3E+Rn2rnHbgvGdOxbDdCNwPJDarVO7
7HTmD+bwgwbHpc3Dl7G2TkzHZ8FRFhTXMRcwyWIdj6Rba5+i9IYgHK2vLKt2iuq+VepMYN3oHCNy
+hj5iMUI4vPWTrEa5VFZshOUL1lsj9vWdV8BXJ9lQ8LLg3emhmaddCNU6ohojtdpYCcG1TD6GMc8
LycMj2KHU5yhI2vvQEGwiJzJXm0FmYX9UImPadDwezSOfoUkY15oh8ZVBgbzPVegj1al00efZujg
W2B7epd2FjdUYxCfTdNpu6yrvQsNCu4Jy/L03fgtjSACSjhT6wjesMqHcxOnF92okm/RDNgDpgqy
YgSJO1fQHewka+mi65ggPMwbtX9MMUKtjcjgCTlrjXXhsB5yq/Xu0tL1N4Mz33txeU1dfadFgwvm
IxkOdp8BRK1b6HF6Gpp3OKXrDf3Un0SPx8DTsncoLf2Ncp2DZmazThWHSu9dt8MkjxPpNOo0mdQO
Pi5J22UxWvO6FMV0alP3YmjCvm+pwTDOdDlIn+VLYdSw37WEFa1Ic9ChOWf/NYCqCDOEDw9+JXve
7CarxIIGcDqe7Kw6clqZ5jBnP5FIhzesSfOeWnSSydLKFduWxCJwTTWjrq87ap8lj0l4+FtC5VOE
vSZOHBS6MnQ3YRYOLPukwQhPBiweV0XUsAXTRJK3+w7qUAsFjEz/SqYiqV5w+VEXy/VMTg1Sl7dM
ZPoSJu29gsdNzAhNsAAjwims42wIPHxVBqnXpoHKadacJlM708rvKgVix+uyKQrI82b+OkKRBloO
dBzwVUjj+pY0KOogcDS73MWWMy0ocSSObYv4FAdhrnnqqzT7GL6dQTpuY5QT0n1R+/a7btJcT/NE
d/RbiX4fNd60kaGR1CviJnG5x1yV4WjqAc2sOVoSeAS7T9KH4xQflptqmDnEFmJA9JRKnSuEIgXS
hKz2Ulnk9IRG7c8hrEuBfYFEBl6VxEjvHArHZDDTx+QBHcdoehunBd8+mlAMOn7Eumri3czWuuPR
VjNFTMC7vItd44DlsM0+60brksB3U2wtZk4wbyV6gyOR7yZ40Lr43i9mfcsWhxfsqnTDPrznjVbk
0w9TODb2qmYNm0G+cjTTpJs9iW8KkjE/hqLsBEmJsaa+TeGnj6nTPuQj5y0PVdaG3oK6pB5l6z7G
7fjqFXLcqKKe3kCT1mza4uxqSYPbXhKRGCmK9gEAexn0vfLeIrPmbGm1Yn439PlrcDqMjXpXPIda
syGlvtEUQcsce8zJ4e8leAoKCnYantc+P7dNn1og5kM+UVx0ixlwoJ2TZGx9mZoMqFk8ht0uGqrW
3NCfBS7VLIpsOHHXfu5bMbqBQyL3gXB8Zt2HGaW+Qea6LDSIjXCkLEDmTewTRsg42BH3FHPCjtKJ
azxkrgFwymG7sBqSXMUbrxHJY0MRUf/OQEDD0owrCF21T5Szosl2ZSTptGes+RiRWkGa8Vs2Vh77
PPzK1RxQsbMwhVV/17ZTchEa283eGscbz+quE2WehzB25NVjYmIo5ZyozbqLtpaNb1AFq2ul6VQc
9WS2HhWB0esUNnl21/tl+VFYNu2vFFIewj53NTyp1L45YWJcNcQvNgmtfxnbhWuFjc/7iDjvvmQJ
1mkiKzbJnMbq6PsKW8v79rK5PldTN3yHnCkhGwBfyR6xpXOYdTUc9ablxPHWLXWZfSeUR0bkvGL9
Nu17hzC84bzk9E/uEjpd3MAXOAXOBu547gpTvNUKv3kso7qK1iodip+m65XfPY7s16E2sb3WIvY3
jp1jw0XaYRhPRsZQipWsmyhTWn6DXUA84gis83NRjV6Kp6cUDstvrZdbn0Dpq1tGFkhF5Y87WYWl
eXSMlHSz1vRXJzW9R70ssnORoPmhzIbuU9YY9vvc8QRJJu6qK+pQolcH5sfVHI2IANGU4c4gc7bx
TNfZh4jiWyOyDSyFZnvohUnvWSRQMuxuWJDKKcn0wENOr/H0TYKQlD+rp5E06y06CKrnGCl0JifK
ZsxbGjb7ZTW0EAD7Gp5XoxOsY38wZbTEwitSFAmYwWxZyr42ss9ecxXxoyujyFqMlH1owZHyMfn7
RWOxqwy7NsSHamoNE4jO848+aqe4ouRq08V2WEpcwZkgoo+lZIbREMS9lbIWJGfFCBVB184iup4o
q4Xe6TGl76LGt6NzUmg0oPXF0F8NPCjRUVSzrZ8HKWc26NBsPKSJ8t4vx4rkkdSm7j6sE7t6DvHh
j5jX8XpQTWT6RCaKlEveZ3eOCZssTOoa3m5oa/+RBhfnKjm5oJqE3PcdPER7TczW3re9cVOZibnn
eZZfrJlpG+nO2xEiYyUI2peVrVTzWYViqb9mS3JKsErX6wovA4Usqm8+R8+B0oAniOODpd+qifhw
0oT3Ohf8mnrdcNs6iKSKsPGrZ3T1CWxO9CRVTeBfkWbHeOZEtIdFhLg43RR8wyUmm8mrqzMKBaRM
mGmSwozR9/haq9a21iEWmfYOAivV2JjPsZnG1pMY2rHeZQkoVWKGcOHxPTtOiiFM5geN8runyegT
vuZpcqOtP3Xdw2hBjTsYk8eEaM7RF485bpZhMyDp9UNsRfss0cOtwfzxozJy/zQhMN3NoryrXWPc
KewhgHKqbNUUs33GyO5tis4+1bONcG22j5GTpAackRAQgT3/4IEhHyLXzL6qruqpoaqNOhgsjW7A
tgG/xyhTf0UR+MqytMNDlOnDPutzHlDVGLusiZNGGltdWSKoLXfRgPDrNTt21FF4Y8fE9VQ5oBEP
I+mKFD/qum6n8rNS02dLdYmFZyDJyWDqpg0Jx8qw8CNOSbn6w3D2+wz0x5lnaQr+z6ztP088SzPU
H1K/Fm5HvSS5cRBlVrcry1bNEU6QfPz7L0PcGeim6bguNuY/v0w/50UZhtpwcMeG/TMBCAmxqRbu
v3k7SwPPn9/O8v0alCjoTITMc39+HcPXzBa7QneYu6L7IZcnvLMAkFfR5GXxetTS5GcGCAbcRpub
3r95dXP5tP768i6tAcL3XKbbv77NZIhSjWRVexANlZj4NtoH08udgEztzI9UZVevxmIEc3F6S6cS
mYPTRK/7jzOnC/HrmGEAkFoOHoXDuX8e70a3LA+OVSOr6HoEGokiTlRhbUiyi2oablWlO4fIWnHJ
0sY//+vv7Z/fEJOwDuPG1w3PJBf+589zxo3qZmVXHeZEUTuHSx7XSk8TC10rQCd5xkeZZx3+7ota
uqMDDPI4mTqu/pffZEP2UPQoNLxoNJ8tF4hb3qIdRke4SfXfKktZLgBezNB93iB/kxCLJPCHCyDy
LbPIvLw9DHOibe3G/BpTLcj1sf037+qfrzQM5xxD6L9A5IB38ucXImsFXbROikOCDa29CKMKeXBC
xOn2//rjM/75S7NoGGGK5JhoYjz+y5cG/lFIe7YzcGaIzXHHkSLsxjiCn+Nb3SY1LVPtfORFn0fe
oC7p0FnijnAebEaOfN2v019lYDLAFxPO+/HX+bD5dVb81/+p//SZGIbJTwvcKoRA115wCH/68DUa
d5rSSw5pHOvuofK69m4sR4alv/06Fpc9BXeLkmT5f/nsnTpWdRR18aEIGQY2DVvnBFZjlh1/vc7f
KsX5b8h9/9/RMSzf5Lr5r0VBONA/mj+Kgv/4A79DMbzfLPg/yGKmzq3bE3w7/4BieNZv3Mhd0wFz
YVs2a7z/gGIgCoJzxPO9iHWO6fhIdf8pCvInHI+DFNsel2v774iCnvNXHIWpe55FVkXYywNFt/9y
h6h7J1NE161dFRriUUZi3nRTXBxHfJqbnvF419f5W5zSvTeanveWILWdcRp3DBv8j9gVpIhv4lKk
LzKOaQ/oZ+fG8As3PIxzG5MxMJuY80HjOC/mPLDIHorMOYcpkYxV2uIjTmFA7+hOm198gvjfc+m2
L1SNcDin9KK9OC5dsiz16LJUurYWdZkG2Pup7G56875TQ30SqgD9aSieHPjFD1E/LTW3VEqzkZxN
AU1SyZPMfEtx5hXFI5LYrB+4kWgnSinYatiClhSshoh/tDqGT5ye6x1NIvbJ8cv+vU4qPC5S81JG
ccpPnkMKFZ5CexrwAFoRf7dVYvUnvEiyg5O/+eUvlx/x6bw8NmqMAqAf6e1sykaspOqSs55Ll+Zn
4KGLdZWTEN6q5qpVZerjlU2mq89dLmDYK24KTzCD6PjegA72ds7uDznwG6Oddh8C1WDmT8KBQ6Gd
s8/Q8DCQepvq23hcSB217lGzAdgaI0IUkwBT8zQdHHZ7ONLw+aOZMIeRUrNwh7nlmSOSfZCGgQMl
h3ce5HhP9mZn490cre+4XWLwToxHGuiBaPZSS5l2Sl/voBa0Ot9u3PmQu2YPL4lim4bzp3C3EzjP
QLkGu7dSp9nHspqvqc1Qk6Rivu8Y+T6r1BjejLZ3jigj0QlZorySXjOfQLE2N6mdSpulje5qgV3p
UtuOhAdIPFCmjP9Lgkdk7T7tcbP5rASLagvwhAncLkV+RA52zxRlD0e7bZEo7QqpUWoD1F1S0Nhe
s0ewTcgauoiHfWnirk9mjVgnDGTqVqSNlUkn3HypSEyDNE+99sZuPOts16QwdGNpLAbm1h06NZv5
qhj4SL3GwaNmQPm/JlHHtJX6/XgOYc/k+hy++zCFj1oqxJvLNv3E6J3tI7Mx+ZhKw79l9Vnq1DcX
JPirHu1sXaB3g3/wmcYxEBJgQXAYkLk9NVsHhd7EctOBJ5VMfXOvlWQYvElu9SHRNnZVv1ck8eHM
wKDFTqc91wIqV+OXR33stMDtQmi7k7i0KV5bNhkB9QNk8RvxEsbJNu9MFZSlSwv77MZg8L0Bf1H9
SUy8vs2d5qFuqm8/oeYitGj48Lt2VaHZt7MYLjmCi2tXYm1Ih3YL08Gm7XT5JbTJjCHrY7EJBtOk
2AfsIJZzMU54fejoGPXJbRHH2QE3Tr0edCptVyKPSW7ObX7GB+dsuQz7JzSu4kbTY0YfIr+7TLRd
d6X1LwTXSfktDDNdo/Un0kYg4ySmMAR5rYadtI3iT7y3ur7hbkJKuKSIyD9SARrHO6vjw8FtnWkj
e46B/0j+kK2vSpqsybhaQ6eRz6X7nYWom36hudJvbEgt8MDe8LNox52R22Kn90JHJa/pi2gw2vcD
geY8giwBTSsMn1w+2nVH1nQ1VDa6AuG0hv70BeqmZ/gOC9l2wcQMfoObRn/w4FK+e0ZNRspMmv6U
myaBRTdM70IA0YEuy+QbaBarQ+KGmBjnVp+Cga37FiLPMBLpd7ngrb57o+ZVp+kPfv8KmniyX9iU
FDSndL7kyjVvUPJpkafyb0+MsnkVJvJi2EzEXELqwHJWH9tMFP2DnhkNpQodQLaciWdjSlzQqmPW
4vNXd5ReLCgydusfER5eFvH+fo7sE/vt6dzSVPTamJHCwTGCrk21B2bRFBKPl95PlNNfHAWTl4Jp
Oi2Kwrqri3OVwOHr+wnIEbgj4Ev9E5uqPlBQNMy1HN36gH1bu9VVAUDY4td0GaomOzOl062Zdr5x
hEP5Ridm++ZqafoMT7a84WNOr3k6i/eW3FJKwk4fibaQDbpEMcGbuJ8QEs1oViQKgScMZM7XiiQc
cdC5mDcDFLit8LtTNs3g+ebehhrdz6eGvg9ay5ncH+YhzShbAjsJXt2k5J5K8BcP6Acd4mN7yWPB
EivLZ9yr2VytlSPlV53GHWjrji8p1+zkIRMRv7LltV36Du7aIjEpUEKUNI3K+TSGeNo5YcStD2P2
tLaKDDw5tp2WDjnMD2cXt9cSxsl2/cDjvmrqwICGBJs+He5jX9nRqgUnvPNoLj/48xTtQhFX6yQM
sxe6xecn4ALmeaaACsAt0fhjJbBUrQtI7odIt74Iuacb3RjSDzv26nQ7kzZ6Gok5wIXk6FHQatq4
57Hy5I3pqQldinsrIdAfliLnSfhd3krRRKBflUXgYg4jnEqDn74P3E8ljGrd0rZTVJRX9uYGI02d
zI9U25l49sq8O+qqcYCxpP3TKI2vpgMusEtCpeEbwyjs+ir6SRlFFBQOPrTVZOJunJQg4CQGf2Tx
bpnP2LSGR+wIw4+QgktuulRpuCuK3FlMuNKunqg7y35mFnoSHeFsvGJq1Kq8Nd5iaZrOvoFdemkR
pNjQ+8EYAe/xSuIQM7a8Vz+MPpa0KZeWd6pJ1W5zk/hhr4GurI0HHdj6ijKl4TjV4S06f73SwcSu
vW6YMSxRjPGQNlwk+85P7NNYSOehx8610lRn7mTht/C8JIcOvILqo5L5LaomXxSN1Qez0uxdDb/L
XLFlkBt6+LJNYZsDsHV+092k82jNQUpUPFOeWKVkgUFMl3Iso7nLXDE+pdWsbagcgLyZFQ5SYEb6
oLS1R6Ky21FMCcqm6V0HZee3DUlO9KBEvhgQfw99k3fbpi+qr6KRKcksGhQijlv70S38V8fKp0to
OOVXTwFTgNlrkKvBcaYH5Ph6D7GNg4mp9iLS43NcdlB1+rh+9ws1n0YsXN8uRmHKqexLZYKNzuFz
HAv2lh/Trz6w5Fc3GBBCQj1TryWn7Fd7mI8f6jsM9YEut6VdbFyKxkiwcSPBjvWRw34k0KooHVqq
yYZ8SO6ciXOU8au4rDXIH0m3umFXxR4zKVg1hoIlgRq/8qX8LKEFrfOsloQoxWjTUpHmLWVpBOjT
M4GsFPrncObQmWykX4hLRi/FPqy4rZdL9Vpl0YnoJuepjT+Q2L8qw7+QG1VBXrbs7cVS4VZWS5tb
XQH5jGl4456YdyT1QJDkvxrgymkskrU+dJJjxFIS5zrUxYHxojhOh8/+NlSz5x77UEGWciqf777M
xDeHrLLbEUYxnnlI1btxwEfu2ktD3ZzXnP0oUfK/SDgZBoYjnkZK9AQMM9vdCJrRFpzxTWpICsM7
dzpKHz+apSuyek3ic5pbMp8eqitL+Mj4P+ydR3PjSpq1/8vsUZFIJNxiNiToRYnyZoOQShK89/j1
3wN193TNjfk6Zva9uRE3qqSSSCLzNec8h7CwAd/LQ5rowT5rEM3kyxxwaOOTYZbWNScCjPclcM8K
ZF+vMoBYLxiMjSuZaaDcqDPn6/onsa8UhPelVNb3RS3rK55X5g4kY07begn7S0BTDvjGMPGonzRA
8rRJBvSpcNl2YxPFAJOn9zOINOzdAKNeMaJkV8ZPyiC+b/MaMj3G1qRCg0axmslVGFjFBQ+aSS5m
1pDE1fzkFyZVTehGMAu20olfhs8iCdlElGWLlWKJQAxsSgygZociSbNr9ptW6rVNdpa9Zd86gVAG
BZiBYYMYZIgOU6R/BGXnAElJ7FfMKN2BXS86a6wS2OQzcJshAl8GIBAsHMNl6AssWSuQ1MOAGpyH
ZqrBndZsZTcjU72V3RbOVlXmzoXX4uFEQV2rIRRcT7Ff7zi13lFBtQD+SDsIHRXuIMVnoD9aqNHB
hS3ud8XoZO/nhXYYYx8yDkJWYPULpegaVYm76q2SoAOWpPdiIJ4yR6u885fIykT4xprsu522tBjI
R/e8EDMcz21eUBvyk0AAyb8FOyUvCrS9tEbghgkFNy1ysoqAIC4c6me3HvDyhsEDsZEkpKTBI7lJ
9op2EP9Y3N7QnecQS5wzgyCY4Lj/jQjjKM3IB/uQq8SMvTwynfXsRtwNInhrC0k+Ja0Z42HptZ1t
efNQTaukCNuDDSp6swSS40X3Z8+PMgOkEW75BMGgF/XgpSwXScKQEoWTSk+k4zubOHzM4b5Fz+Gh
AbiZkZ5eBlIgN4Q/zED5ZuDWhu8i5nV1nPRTzUbUlcYxzpvgzicba6d81KBB1XebSnRk6KhokcuV
QAVnmG8UpdrU70bdhK5COKa/dtJkMhCNduRC22lbX1lYziIwK7y+Tg2AKhkXir6h+r3SbP+p02X3
AnUcHXb4EwIbL3mwY7NEw86y729TERMYawWl+0SSzviObcE/NYSHmHsC6VcUNOYLi1loXa1mumDb
ZhocYBN6dGeVwYixyzDmfTkSzMfFIZ6DvEnvWxGUSIJqZaG8SNLmaNs2AU6909QceX35rFR7b7D6
3InWeSDJxTxxwLCwikpnP6bVO1g/A5HFIgUY4zXWPRceg+i/5NSFkupUONdBZ6C9mf285ZEr09fJ
caxFEghyvaj9/o0nK1qzukIQkGXhLrNGazdOXNUm27qDDN0Ax7kc963DlGDlhLq7iWRdnoi2YsCw
mEeeAjNJX4vUjXaR1XYkAtmN/ehQuCjEwlk6wmuCIvDv6VveRu30MJVf//kf758ZSYJR09bR7/bP
YZoOQZrJ2P9//LZ/r6f3nMH418+3O3z+53/8/Wv+NoGzGaYx5hc22rclA/ufEzhb/QLBagkUBw6z
NrXM4v8uyzPEL4fRm8VEFdy1Muw/JnD2L8tgrOvqkunb8id/UeH9K1WeaSMK/GOrghAPjR9WbZN/
RRD++tfIalDjiGwSTIZxrzk3rCsGyA1znm3hscUvAZ+vVxOW2CEHTpCs3MqnaB6JJRNJ1e8Zgbko
0WpYDorvATEmdp8Kao8XOeT2Ndl16jEyoZEPOFgOU2bEH0WkGRj+gvGQ89+9lZmoYR20B9O60lv1
mYwzhIem6tprCyv/A/oznpQItQwGJgKaasdKHyT5jp6zxDct5f+lqYyEMhL4Q7vEPAFyhnKxRD+h
EmqONSvPJ+6I+Mz+cxsxDIIl4hJOkFU8WkuQVBwTKWXZaGLNBIq5EdNSFKnjE1drVuRlWEWAr87I
d1ED/0aNSeoZVZdsyD4FYd/W9qrHfnPdsXHxkO16TmiWqymyxBX1fXk2oHIcxyX5CiB2f61kr7b9
konVt6I9F0tOVmyTmFVJ1bDrbHRwe0RppUSLHuC6IMJOWXEmnXntd3WKWm9kZTp27qteKyJmtLzn
XpdIw2WV3KRLWpe55BO3dTmt0iXLy81IO6YixvDNvsmTIZb4drbTjV+3zDeUkI9+Un6zUStNL28x
DbNTT4ZX0Y7BU9sHw8sU+s2D63f+lz4Tn7BSDjQGML46a+pJYDg9oCshzzcyQvGauaYCX0+hxQhr
tse3eKoGEFS+ii650/tXRIaNJxdxzaYucb1Qu81O5BWE8HjIbojF5TOiOWsN+32xKrsZzFnfZd/6
NOJY6HVMDqKAtlI3RX5lZEpjEmNW9+nE+6KqTKybCLfbiN4Y1npxxHlrnJMlnS1bctrGJbGNNL3u
mYiY6ImSN/CaSruTVlye4n6Q38AxzBWB5XJcxV2F8z4OpvFWyvgzDJ03FOD+mWRXjGdge04SBL3X
DZATVm1c6Pqic+G+tO2SlKUliC4siN6DfDgdscXYN1kJZFhL0GzkhCkMS5hdv8Ta1UvA3URMxT6I
CL2rl/g76GUbuQTiFQhtgpWxxOQNS2De0BKdN1nWeEQZZL6GRm3BaZ177cVe4vaCMk0OeTIMbxnb
offBRwIQ0mF5xRLVNxhV40Xu4CWWeRuNekWEDMF+bpf272hfqidzBN1QF53xWpJzwba3N6bVZPhL
4Bed/1llTG49/ioRgo3pWvT3KjgZIUQm3FrljTmSZBo5Zfnsw9bGXZCJbi8rVHZrkZUJ4ZqA63uC
lRlD4JYA7qQHaCozdJIGZK8WlRw/r0C7icZRH56sLLKP9NOTR7dVnH27ZQjcxvImwpd8LvNO37Qh
iqmmt2skUXTK0doqS+uchAFWND+liUD7pn851gTRxjKrs0QGXwMKrmYdiBOGzx4iCYLIpmEwiatk
eIzqMK92uuWIdE05n9ieO+kuQdAxnTGaZcQNxlJfdaBmz6SXdJsiNcS2Q3yYoxUj+dQrEeM56zwO
y01r2H2El01zrlsmaLgTOYpfbUWu54rMwInq3lzkOxP59ISppAz3MLxZIJdqtPpXuMTBIqklUJeG
Ebe91uefDeOakeo7kG+qNkdzlZdN+DoWjqFWHIjYTew8tpnHk0Vtv065agcG9IbzqCN7uEZyMbxU
Qs75MWIOZK1Qvk0HbRBmTvC3Y+iEFkXaB7E9krABRtYvHbsJZ+OmTn0RS09gFNNyaA8+mZ6Ek6eo
RwEtbDEYTd3OkWIpn6WrvVrhSIZ6UuALXrElQZKGej0Te4zOZb02gLlck81ShZtxbI1xE0gdr1qj
DXG9m5jFsbGRZnEfWT0V1eDMtDYUaM2HqJdsiK6zrBDDsCnb+zIU2smu52zbZWVbQ8IOGUvHFd4N
EUBOwBmfdK8RuBNzjeIWu8/QDQr0TDOFDOc0C99VY/pgIlI9ZnoL5pieNtGPTF2sg663TMAbbHLf
tWblz5jWm13BJClds49ieJKMVXoXJbb/3MFWO6eu+q4mrX43I/dOgRwh5AIrIp1CWljbTmTusTO7
8W1yerY7quutNwVtifgQZmoHYQUwtCKC0naB3tt3fuLMziVY8tlWk8r0CvtGPWxJQOQXIMez3SWp
26qVRZM/0OZk8SNbjfEEkC54EsjcKyZ7irBOXYiBCUc9fOkOt4rhDgQ+IOUANQtj9awlfQPkVeno
r9usMw+ahlSR2bblvJRMhR5gUSSnIbPJrAOkyAewCBUSbcbJ/c5H8vzY0Xqck8xEa5FoxGJscpSX
LwBu+JltxABHvCkqRwocwcxpGPwdizStnplcZ+qwhHiWa9/Grrc2XCMFRIXK5yrJeeM0I8VjrImG
H9Dsg/Sz0noQqQDv5mvwtTwxra+nz0TxdCfOUP1d6O30zK4OkGOuwJn79hxz9uYkpQ98awb0xdi9
unz9bdPTDhEL5g6Ark3ttUq5oeTEmo34TC49vI07P8rdp2AetUdRuumtMtDagcXA8Rq2RnY20hzC
fIFm6otDt72BlETXxgiifep7NbXeHBnFm5YU5QGDFANdcoaMezMCjAhYKtE+cjRK8EssUUMrc0G9
rqXvUCqw0Ejfo7Ccy51GAHO9QelMzlYcFXW1Q64mXlrSAe+LXORfdkjI2rMOY0sBAhnsuxiwerC1
BwYWdR8DDmiTIrm4oY6euMXJBpI+MIeTj9+JkKc4vB3akGEFHlOEtAjYMPymH7xXdDtkR5VPhBZx
C/Qt97vS5zuSQLSSNNkiq1esGZYVUcmEVLMTRhWy0mB+xgsSB2GyfdWHMwza0bftYE8au9vBY5JM
BpLOIk3HD832ZkFF8vG0JbEdMgn9F98a4bO5Yw9NNuVVRXRfPhEza922AwnqaRnxvsc1Vg4EXPN5
HgUnqnBUc9eR3Hc3OD7Jp60QEsebDuhmCKLsEC1US/jERrVW3HB8MszJRvrX6Vu90DsovH1C5NAs
oKAg2oAZF9fxjUW3i6DcyeU7CJTiSatcsBU6W4Jrqx55RUjorpCBjLxCpSqjvT4GznsSpcZvchr4
sQJs3k/A/gZe35CgRlvZwW+6QwAbaec+QcFCbT5XGodfK6+TmUDFdDL90dPMdN7FQ2zuuWlLErMt
nRVOFrOj2hWIUa98UMKnUbWGu2bJ0sZeRD7224DQGDUzasXvtHSzLx+/4NH0teCDHcA0rYNmdq+Y
Q1+HjiEO0wwpcvXvpvF/1TQKpDe28S+9XOf3PCq7/ybc0P/ry/7u6FK/bIXQgtASWAh/to6u/LWo
bSifzMXP5Sz94T8cXeYvCxwZeGyl/yg7kFT8Q7xh/MLgJUy+o2FaroHZ6//QO0rnL72jIyyTfwbF
IeqfpYn9i/LHBBCGbDxx9zgzsv0UimQd4HpU7WwQnhVI9t+YiBOoJjvVQ3ANwnl8ZNSq3WN5Wsid
1Vmr8BUHPqetLYf+rukV0O+M240sPRz2KtrLsRA0TrDYVmHtPyk0f+c2ATBak6KhOqBYadLcaTl4
nlU8hh+mlszcD3GO5jm9AEl2HAzOhFisGso/mBGdIhoAOb5Xgsp/IIgW7YDPWnUe4GfUMQR1z6wm
sSa8iCtb+MjNy4TjgU2vuYcWON6nXRa+RGX5Bd80t9EZGhUMlSh+g1j8MbiS2kap65i+cYV7gesS
CZyHWLXxuIe+hZZnnury6no0Bya3mg9GNUirs5uYBOyiEh/IaAIXZo4YyAZ9TQQvYMwweqHLtFZx
WwItoZPhF0J9shpMAw1AHT/FtgujUCxhojLT1+xRuSWGNivvxBB/DmZDIKPv+2sjnLhXdQF82mnE
W6aPGd/Kz3sS7klcd1wV3PcEMOCe0+77zk5v+9TCJjWYfk5N64tbcwD9xCJgCNP1nOu9WEPM53vK
QXAFJnWC3AAmxxIp2E63vhxhgUB8auFeAGPvNDIx92lJzgl5SilJdmPaxlt/luhb1Ngk/olEd+Tj
IW36qccz8szK0q8PTWU1pNqDvz9WrQkcOyRolcQEc6IkZ4zQ+wixy5SNGpP13xZk0qc8R+9G+HJj
G1iZqwqNeQaxajNBir209ODWKqsUqDQMklR7wzDTbjsQhF7axqrPM+jkcqMXLGnWAUsW0uByuJnt
gHcX04zAe1638Gzy/sZURqNjtGidAs9wQ5kmlJ3am0HpaGTcWh+GO/Z7frgneLWrjnzCjABLbYDU
pWGdea1pQ/5dlFFGCUs43aadyrrc9VaF/wNOu31sm6RC0qzXUDatwaVmCQ7sBkGEmAO4VQJ2GCcA
6eMwXxncsRtlXDtCvaSNfQEmL9i7ESDSRPU+bOGgmrU4p+UM+sMo7mDjfPiluu/gZk66mq4j19ib
WXLOhq66igPfMxKUsgh+s56BCBBf4tNmRgwFb5kcTI+weQYv0Ewu0WRoX3ycPaI3V24vLrJFBEIc
wq1YUAUFQgCArmLrZpAy+FW/jfkWxxJGdr5G18uXjHn6bSPEoQQw6g01vAw4UFRDTUwcTqJ9KqBR
926pEaWrNReaOq+ZcFxXgAz5MDho1c0ZBJLBMsrow12SAHwZUjTslY2i17JwBLoTEDI9K5r1xJBq
k4AMeVeKEW1l78a8CEERs+rqSyoVfKb5qlpCc1QMwyx2jcKDKVWcBQ64N3cK7mWaofR3ZLcb/LTk
kYm3CesQTzdsOGadb/9mZtJsan3a6M7YXDFJIHrXB/6fpwQvmfY9R985iBkhGNUkMXQ62PFMADFp
ulWTtHaVW+8yBJw7BtefqR2QfWpNX3QDN0bI8L+fFTLoxiFDste/htZJPro5+P5jqnn5m9D6TzG7
tBbB6J8CbPTCTDAt5iuGzbLmr9JXLDG91kdgt6jByDbNYrly5zSHwTSWBCUWFk+JNndmydosac6i
GKOXIC6g+o59z4olw6nPOUkDYaEh8t1LLMsOK97IeojPZeQY9BkgOFZRn0xPRZ3rsM19nme9HrAy
2OWi/qLKqy1vKrqavXtZg6/XEeHuWIhp9QG3DYdFDpCpn+K+35o/p4n2c7LA8+WUwdsEMTYbQ+3Q
tZMt9zyXFPA1CYsgbRQKmjCJ71ocJjaYSmSz8B04pgZrMZCWBbbeYFuGVgfsqdkOlJDbLop4N+Me
HDOxiabITzJOQrDxcUxqZTauE+mCHskCjFqEE676zribM52qlePsysp9duMMgDy3b01CImHpAM8D
F5HLo9HZLW1akT9ijCw2lRGmfFabCo5kk+gdHqS+cLs10UET5HG8lZ4lYmZ7hHdwCqlSj5P7aGr0
4cT2gVidGFoADlyyY12rhniqZZ7rBvlTWLmgIX1LoYnIrukr4tMU6OqCm3AeISoG+SuHQrNOK3Rf
ZjEUnl3MMIAyq4pvemYBnwFiTNg48W0N+P5oCWbtRZDF+hklenKduZHNeAylc7xOYZZFV+QiIJ5m
JXSTO5m2s/tQ/Xb8XtvpIBwuPqEuKO+D4DcmH57WMaq6twkt3Lp3eol4q0Mhh3LUY972oSC8wXvD
Dtxg0qTryBANQIkCjiN36WIf1vERc9stnECsxU6Aydgaa1JtQowh5JRFixGZ5usKS81LSIfHTgev
8mJaVot9uQjcaaM5IdOAUn9Am4YDuBv3RKIiIcX/zPjkM0B5srVwRldGjCMiV/quDNujgXs61EGD
Qb6Cyv6MqMQj+eoAleEj0i06UKR9PZQWTDjmFlr8ZxaOOsMZ46tQgXtOOuzbuo2R21ks3QXebtNp
miPBwj0qnST8xLA3HHvLaW6zQk6HZjGIx4tVPFtM45gkf1Mswo/BT96rJb0Rm/S6SgIHPj62c+zf
rzg2gl02Cf0aB+sZkRfqncWuTrLy5KEBLrbGYmavOqKLerPG4L5Y3fM+Xbu82cligm9xw1MlbIuy
ac9zyUp7Qui5sxfzfDbK+3qx06e6Hh1IfybBUcds7zSL7X609dtkseKDY90YLuZ8DWDjOhgEUxF/
Me8jTyaPQGqpglSRYu7v9PI76QMH0iJUG5a4hZc1ZMYaCFo2MjIDZpMJ+NphjLlhOzm9jowfgGKM
k3y2pw6fB6oQ8cKotH2qWsVkJoer+h36EV0rCg3wnV3QWitTjg1Nd80caVNUdXbCZJN/18ttnfxc
3OXPJY6vlwudTN4g2js/F33/c+nPPwUAOFmKgfGnMFA/RYK11AvhUjn8u9v6X3VbKIHxIv2LFV2U
vf8O39P/MUHyb1/8912d+0sIB107si1FbfRPhIZtssWjA2M8Zij9b3CNf+zqjF8SALMhbMtGqcnW
7r8aLtZ4VFqLWp7hgP3zR/+XhmuBcfxxA9uKtk53dbAz6PINXSqdP//DTyNtxHmo/whvw6xO0Hkz
VSCssCyXSK5/0/8zHBKh+zRUprOztAEotPJbzx5i/wD8W34yNM33jPiwM6Nt7zI321GXx2+EJkAw
nq2SS7VNqt8VimkE7xVn/jAF16CtxzvHDbVt0eU/XuS2/nRzf9qNYWPfoe+Khg3bbvXbh0+tOP6s
cNtr2XZyuzMJBemJAEOdNYnVHqo5AEJOKtCk5ySblC6Rb0itSjfoXsDtu58JqewG+4rJ39Wa322N
XMdzm8bp+BlEyn8jzK07zk0sPdMa291MsM3eVC6YCCm4GMeKPHmZAnqNnBsE6sNmIpZhX4RC96qp
Y9BdKRo0tNKXgQN049I06qsMlz+U2DyeV7MflY89GSFfURVZ51ZoxrFyuoe5ES4egsa5GHaliEk2
OawkhQyTswjA4QrZQ21v/LBhjDdlcb9zpok2qpDJS4PI7ci6sD3mifxd+xkZbUkUXUUhCPzIdpr7
FFrkwZga2LTs/c1VkNjRRwjI41n6AYK9qFFXAWywD6owAh/GxtS+CeFuzxkD5JeCSuPMG87vaYKv
8Ctwo6ZQ1/RsBCLaDgpuZHUs/ITzPSrEREzN4Van6LaOVbL4NplSITQjvmdOybSMDOmv+cArXigt
v1eZjJGPohgh8FK8gPWmUrbSCuNsX3glGqZlydnssdBW3sApDrRoSfShLFj1vUnLEAxGfDI1/8lh
oeGZEYB9HKTtqm+YGbZzaLyObLz2naRwgdWULcGJcHprB+20BYZsVcshg+fWQHe0pSeZYG8yM/xC
yukzJ89L81rX+/gAywMotC+4y0V2NRSz+4n8O3gcex1ZIBqYp2mU6dEJfethINqO2nR0K/aLGpG+
pZC37JJFjpBFI0SiUCCmVd2Vnw0oLXeJgtO7oNx2ZSyvZ4P4nHiwRqwOaYcqXvKpjYSbPqa2Kytv
xBvJbctr5sa68LQ6795mMyxOmuOUd2wo7BNkO2c7DcRxGyN6W7Wk+qBEKSfbfkpKwGyM0ftVrWFH
qKfYG8wk3AFWzh91slCvqfzhJBNmTiKMDxBzVYVxcA2pMrgYs67YhRuL7BBhTIAnoBa7xhiQEfli
WnewJ9c2tunfDnJNFyGLVu01s1ZbQJUOmO7kMnfF70Yfj2R8xGtNDJ4Urbati+Gc9YRPOCjN1q6w
HpD/eYGey0OJJBR0RGhp3h9n9f/QeBjLqfbPvuPn1JNCcU7rJgG66mcM9cepR8icDRSM44DVjQwp
QQqEMSXBhCEfx7y8YqEi10MGX6fJX1KwvOFyW9fXCqgqCFFCxk/t3IMcyELKFpquk9svwWz42JMr
DP35S1Ehn2rsITKQDYUq27RtTcoN8/jkzv15npOfZ9uANawOOc+FdcANZBwHcwLpM/SGyjeQk5O3
f/2r24s45L/97hhuGSthODRxFHD5/OXEnzTKEycJxE43A4SOpKNniXGvOeObWPjIepF0a9MOqis6
aUI8wStBPgETxqehLoGda4FZ6xtzDiHcTbNPy8C0wKvjtP9iLh88hNk4Hexq2Cvm7JUxV+NadvWb
07TbAoDhjsrsKFPpEFAe/a6qsVjz2couIzkgB+QplQfBANSJ3oRHCcwNclrSAyxmBHTI+9qw1iIR
LbENCYndAzlt9IHRznTH7NLZg/uGqz1/m3rRbwcLfLcEcXNtBtiH0oAgknDQs13RDvYLhAX/YGWG
f5myqL/jf+1tPXfRS6wbJOD1w0wn0zqbObPM3UDW966wBpSacJkPQYjhYjUQuLoNWhncTziwGfXM
GHf4sQfkHklIw+7qu3owLRICwHOmFMDotzgjN3Xj10+tJHY3AN/3xELF9SoWSt+WcAMvapPkBNOR
jpy48hMrssBad400n7TWlDfu7Gj3RjNIMKtuwN3iiOKLvMPxycIk82TaRX4ht7a+OJDBj4K+cG/o
KrzyK1Hv0YkcMojrbR+SfF7ULbTNZmTe1OnIEYZhuB2HLLmGOd4xG031CDguGph06kipIXb9vpNQ
DljxslYgrfhDofl7KHxFxryfPoZtTGBlO5uAw9tmzt4yUQ7nGc/b1Vy3ZGmFzXjK4TvQrGHPYk0R
XdnmRBtV246xrfV4YuqUOeFa1H15ZZeDf8PWtry1kBAh3dWDiQkSTRqTsXxT18B+XMwel24Ii7OF
Oc8LIeotstryCPGXWILlFEkrn3LFPoBGwZ+W30wSVgornGpIM2BJ03lsmEXCoQa6wDWxnjiqmuXM
CixOL385x4xADwHpadq3s5xwTAJA19W4/QdGBgp9KfyG1NzNPwdj93NIclIoUl84OevlDHXqkHMm
jeTMQRCKFlAj5y0mlfxxXM7gWqrxmA8FZ24p4W/nfk9w1TBxohPhfdfbVXGahd69Md8VXgEShlVo
LXGzLRdDvNwREI5BSKU6PqdkuUMqjMXa3mYdH0FaXK4g4TIhXbna1KLU0Cv7YRKFebPMN30PSrz7
iUKB0Fin0BNz1winPmp9iX9ruSc7Uhw8pkfcoHkZOB9DGZtcFXymDe6pqDyBk+w5Q8l52hc+FA6f
EIjIq3+udPhjvLHEU4SI9KN+q6O8hjDf8BbZP1XDtBQQGpXEvJQUzk9xgZeHsJrONr1wqTsE5aPv
htWaGF3cDn7qOBuyXcZTlupExrnaePBN/HNgSzO8IGXI2DKLD3HXSeYwTkjT27tqnY9Fx/A0TZKz
yfjvYLQF9LUgk89Mm9Q1NDTnLp90P1vVTdhsETa5X9VcysvItPp3n3b9JWqm6FFDyH/vs7pvvEB0
9gHvlcYwnBgcBLoqYrXnDri/yIO6tjSj29eEe52p6TAWDEAXFsaNNC8ZLKVj6ZfZddv1wHLKwa4/
0P2+CNQmHpmii4wACD7JR46+c9hZPtgBvzgmAHmotRLIcYgNDTqaAyKlbGBjGInSLuZcGAfbGtV9
FhfWBbyHuY5sri62fMVDCToyQplPCq6hRQS0ZaQBQlHqHVIv9bJbp+4YN2erpH+2+sElJC0SH6M7
d7+NIi95jXFYYe3gQdsy38ZFZqEtIL4AZfnzhF5oB9CJpxgwQnS0rZJ1Re1oR7fqhz1hU+MxtpE7
LMgNHO2VFeAn1MSrPjqXGcDCAx43BNqFBlUXVOcRymsDzVM51m04yeQtNoj1AQZmGiujztqPgM39
W9m1zUbYKt24RcKsyyKpDlLKZtG6b9ost06ydPnwa3abcpWL6FarFriykRYNJC6qwCXOVF2W8Gsf
KtbatDCqFKW1UOy+hNRQmrQFue2ciYbm4ddEhBy11Wax9L8UTaKO/dR0ZxiVOPN0tDsDuCK+2J4P
tgwTfoEFee9QsG8Qw5Et7lpHV6hv/EAf00g+DhdYSoPkF/nBrk2Hpx3Z/iqPq+AOndW04+ShsPYT
8RSTtEToYPakq1K+qErv9n2Xls+DacbPfiPqL1zIuArBy+z7dn7DEfhkWKRgoko0rYOpirO0hpsY
vRBF/9itO6KuNmD054zHCpfqRvQkfqHWIVEeqb8qD47Vcu/6iXlEQWHs57aMN2wNptdI43MqZiVP
46B18Aks/ze2FbULLCceyApbyvo5HymUR6TxY6g+uy70d66qtK2lT/IqqrPohBcomE5drhV3kGDl
Q0j/Mq6jYmy/+gTZJdOjxrnKq5zTpg+M+B7ENzKweQFrs4gjPY7MOgRmCOfcuASfpvmmFXm2W1t8
V3L80qgn1dgu66PE3cLz0/C798zKIU/Fp1wf2iUZBnUj2Qrw6GhHbhJWQ/sck+OGoLsGN/k80jgZ
iLU11DSj68pdZPLvjyK1XzIqwQiDwuSeyWifcPSSSWHonf0WVpG+I0owXvmOlnSrLJ14autJWLSh
IOZWZdEc4rR5RQt5nm3xvcwvNr3u6+9tzzQTfSzXY/nQJEtOlQTFeieDesrAaUfzZ4yCb2WEzlPW
5hTVHXf7LJmfD3097BxRkWwaGuNOLMm25IKIJ/DLxDpCZg0xBfY1RxLhS4GS5W1p+xmOQwTCGvxd
p31gPDE/MJgry3UiAM5CcLnC/YFKE294eknzQp5x+2DYWmI3EOxJIhii1vIUoS75zrVd7R6PvnEx
9Hz4VsmH3wD5H8qR/VIwhxa5UJPa11FCWaTl5wwthRJs3+omJRU6T+Md0aEVp4ikxxgbzcvMzwkx
erx1gZohup+ApA+urXslCtB2QLRDQXhqJew+0b04yVsx300hWeQK/USVy/ibhch1kmQ5BoJS3Nqm
X73y+eLyYo97M2DRP6VhXr4wP0V9FaVMIUC4a+Rd8ES/zmYzPFqZa7z6IjGfLWR761Y06tAgSjpy
E4RXVupra1xrpNP4KRmVWkNREQeHto4Rc9gRoWtjF95GcWndkaY5vZmIcMCaBxl7SwXdM7YUAYdg
Bcn5gwXNfWqPL4gscKjlYJwXvlC4J100O6TRVG0UYhrkuiyQZeeXO1PDIQjyWG3B0MR7BekI1AOV
7JT604ZFy7inhhR4LwqH0XxtCP9ipnl5YIU9boO0U5uETLzHOqLy6/EC4ajuKlwttbsP0jSE6RlN
QJd8iG/8DNgTArwkPV6gl6qfFr3qGARr4tfvApBZ+QqU5bztlwsXLDXSRz15TLWpZMDbdDvcRBRk
CUkfxFvS86N0f8BE3mzmrizwjWCHXyGFY/UTFbZct6k2gFNtEp7AJBcc2Gyy+7XV8WTxoxTr1s34
ir7N2vXk58bTlEcNgt8lNy7IjX2YcEL4RtZ4TQsYDDRhts8l09kWMvZKdxLylGNMaB4ExGEdJMSd
duyNpe775xyVWO4iBGAwEyfiEMDu0UP/VGdI+2SC57UrQjRTxJGENqwdtoXTkQlfzhrIvaMvX0s3
HXhts5FtIdv5c4jTap0Nve0xJ5g30WgSsC0jAn3xo6Wn0DFtXgJfPwx1ocNW7WMKhiZnoMyy0xpA
sDjGpK0BUesliz80yTk5OZ8yLZLXPFJ1CvtH+nck77jwFqz0Qq/SnhQ5JgfsSEyWTKsxnmKSCtYk
h5WvmbXENZVpccKOH9P/lfG+ROi2F0aUIrWoq6scYPq+iaBxg90nOcKG1a3cGQlqrO94wozHlnbt
0mpY5HJ0s5soY/YRsv3WBcbXNk5OhTSP4/+j7tx240ayNf0qfTV3LJDB8+zBBiaTTKaklCypZFn2
DaF0WTyfz3z6+SJd1dtKu6Spiw3MAN2NqpatZJLBFSv+9R+6/eJwP4fS/dyhtoWm6dyLcnShI9np
I35mxkWT5fnBTjpMyXgFL8KJcBvdmobv6PbX+X9G36pfwADiV0dhnPIduLkqHAr3zM9mSksRhobu
BArTXh/5ovW1jUZcYRuzdFxG7Jx/SUOKMBsr0Ti2kPkQkcW1Qn5Ethwt0nZbZONm7C8408Lkkngl
mA4mwQMOEoTbxquBscQJ4VSxZiBtYwYgXCrLuUxwciAugBOisv1vQe3/P3KxxhnJxefl7/H4y+ei
GP71P56L+j/+dfXcxUXymgb1/e//Cclbv9nS0Zr+RjMME9T7LwMbGwMbacHu2CqcJsNyWBB/QfLm
b5rumpoDB4szlStx/D85ULr4Tdi4NwHlQ62yLDD0fwDJG5Z0rf4vcEqBlgVNjwnaGfepFEOkDYDI
QRHC1ySXasL+RCUcE8xgvKkNRlO+zGlPNpqCQf1m6IzMh+vcXC0zoZ9YLDa7JbbNG6uEcKQuZP7m
ZCfsc5kbr/Qh+FStRMzeBtJLPRpFuDwhDjJN1S8XBeSzTQ6J8BNRLV1gc0j1u0aN9/Awmw/aILJP
EYwZZCXEbhayX5oGeEhuRJ5guU40IbKvKsq4vQROIWNTc5NnnLNxAsFYM/HCU1vWyQ7Nkb1aJru2
keC/TXVq5SbZ1VWnBs/GZ+ywDhHkfmj7/bfo1AyCSoqHXnaI/dIky1XTjFhcE4x9qCUbKHSqMFho
L410ZZzoWLScJ0ZTlYlsIn+cKO1Kdqek7IxQhelYm3SsPWJh1s9QlFMf/EDfa7LHzex4eRgyJFhX
XdSh8XS/d8VDoUp2ZkFyGk7Qm1jkOMVgiXhloqM7GqglgD1qxXMiFNzpqQeX3XiVltkncI76E1S2
Ya/Krt3mSGBvVRNfokR296s0GSE8Kmm/DnibMqdHuhvQBmcqxpPISyfS7uEKpCRuK0phz9eMAhmW
rEPuvgDI4gSLykn2LEp7ZaFJfFbqJCPuxRjdrVL0vZ+o8HXCNeW3JDUBsej9295HnKDsSyAaHyat
5q051JdY/knsysgnIaRT3ANDFy8NBK3OE61eP2IzxDbmuLiifgQcdEjQGgUCBEzxbHARtYC5azDN
/FBYtn7hFk18azKj3Wp1G8Y87mrC/FhpK5j+Q7zchgxyKYMIUwx+pbhtucTnAZ8mQEYFFVW5NARL
2Eo/00+h/QyRGYkNp/z2IjaUZVfEWviy1BbX1KETQnihkVK01VgqsR9Ojbi3rS58ph5nDli1wv/M
mgDXS9DNxu7i0og3BFqGSd95KqDYXSVEDjzh1iRoDSssf4Go4j4x8ugF8Ra2hGFVMwJK4JWblcbJ
OW/bnq1qWjlVuE4+ENfiKOofYEfL88r59aPOx5pepWj6iwouwCsdmXhx47PYEfesO6rC+9PV+AKO
JDWAh5eO7uV0LJg156KqvHk0DUYjBXbAQrEd4zZOEI56bMwROdrpbEmsfsDnFi2F+Tty62za6LVC
FkZvdqXwU61xZPb1oH6blqZiIp5ohOoVa4QDSlRigKmooXmpYd/ZASK57n0+z18Fbi8Xi1aZX6Ft
5HtsR/v7OTLBxweCGlatMW65KaAqmlPPj7OSRs/spkQ4WwTe1EvYg2sRvbPJLfx87cwVzKS6gu+6
xgKX8GnkOc2Iaa5oY9lZzaVNRnJ33aH2J7DYPeNBIGooPZ4Ya/dbK0CmvLlX4DzbSXxM1nQ6RiHR
aVYTLjcrcMhtUnbKZb+YxS1u3BC5o1aRDgPaYnxR2kXnFG/rBBQXCNoPuDKrKHYqkpXDlDCiWCWS
C/fw7WS4XxAI1D69sXVYR84ZzkAQckIUyoHcL/OLY0RQwEqJo9jEFhHWJB1TapvaA68+G7dapiFl
GWkCL5C+VJcInGri0ukYEq+3RXhIU3veL1bi+DHMgZoMPCc8mJ2WM6JSVPiYeIt0tZQaqc/Mm9yP
lj5gXNt17j2hBndLiQVvNM8QDwyn3JmKs0AJMIf6wTJH96qo83kbGUbytRKxgSxkXTjVD2qAg0xO
cLqe+GaXOEDvVbYXiWJ6OWkbsKyayeNVb/1K1vRyQaQEnUG5tMi1/5xHHY6/CfmYgclIDoFVntwo
1L3rAs/GD26HQ3ZshqNH4md3b1Lnb5toDAl2q4iHHYesCeBrGbfWYGQPWqfE3zQcMxgoJdnoD45w
r1bylPaqqyb7oTSnoDQi5RLcBpb6JMqKoyCzWK+eivQ6Mosp8zV9Wo+R4nb7NCuS+4Le9QL1yR0B
cpgBUC1RKSJoEZ/Zt90rnI45r5uQO+9WlSEhHlO4nTeuWlw6fbeU5Jn0M/BKFb+kaRbdc+4KH0SN
OJO3A5wmmjDEVrqWAGtUBs9TUVifOH5gtqCuzha9abE3YCrbeLZpCq4sSGUhnk32XTHr9iFvV8vL
9XU6jK1ioLkkiQg7KC28xF1V0oKjCRlHkuzgNOsXGDpFiEe1vt/ZSprfmzZ0pIQkC1Jj67j9BvyV
xDfCHtdnBWkVE89sxX1GzSpzm2LSfcDIJdpGS4i2CfHCAf+y8bPoonTHlAf1BLtYMLpFJWu8E9ec
6TDUxlSvZHir1zerYyENX91GfNPHqoTPT/nNugWgX3XWddMMTvc1XB18r9dS7MapUS5XZx2+FWCW
Mu59hKDDNrSxDROXYUDLS1KmsmcibDDnL10RfYjwvwFtz9tk15gYD0etpV8Mg2GwG9T2cGVPmnY1
FswJXUUdcBdIk4DURSqdwt+5SLSIUVsTzhCyYysgWTe97Cyn4W72zcdwKtttwXZCQuwS7rO56u4n
iEY7lLv2Q5e64208TiBZxcJ+DeRy5WCYwkC/xHpMIZFyxdQOhxzLPrjsq8f/lgb9b30npcHl16qm
HEbgPf/5v/40vPSe++dX/+KfuC53w7d2uf/WEWXxV18q/+T/7Q//VKG/J2o/CQ0kfeTvm3TvuXgu
//Vc/vEvQnxeqdv//Zf/7NDRIkgtusbqODXiNNvfLSZtVOy2jkSSpcj4UpXWoH+pFNTf+IktHMvi
QCccl2v5S6UAaQZzBtc1VRPajNCNf9Khu5wPfmjQuSYMJsHoNf5jYIR6PkGtwfKx8NMMH1b3C+Ya
NwC2QW25D2lYZ3gcaX6OXyM+SOFDAihWr9Znu42Cwf0S0zTTvUdXBNY8IlIKEBvtNEXx08Oatpc9
GrUZEXUUjtfxpD42Qg8ySQ9dzSAlT1Wt0caFZMfi3dACfRC6NfF3sRHL03ZvNPlFZul3VmvemJYe
wEq5M0LthiBPYUXHOYp3S+36kKJ/d5T693UO/dDSt0YM+bBQ4Zoc1/z3BZO2tFgDE4c425iu7dq5
GHCsISjvpjTmxxqpW92Xt5gp+zV8PGI5EUv13iLCB0zgUaqHxkNnRft2Sj8UoUHMeuwWmMm0+xV7
Pwgc5HVH9h5riXSbmOOXvnUfGDU9MXubOUAbgR5aF0CsPgqHr0qve01dHAy6wx9W3i/O/to5BeD0
EDlmuXRXCE7OlSZL0YoOdafh5w2J7CWsfbs4sB98MJflg93iexnH2TZbbV8h/3Tkybx9ATKG6fUq
gssA30W1TDYCFfUMP/+Bg5A0yK6p9yEhA5T0OjnQYpBmT8IIUJrpZ7FgP8qsAEtfUurXx7FM9AOm
qwrtFSnE9ubbovftbrVgXxI6kexIFy5IV19hL7T7ockyjkEIItQetxGYRlsiiwovIEjERVDBjuFM
uc82Dhk2Z8xRhSjhXf2qmUk1i20C65k5f13Q4gLdr3eDmsCLSrQt794nvRFXIWcQJx2uyiZuLivO
Alf/vEb+bQH8sf7959/+qf8HyySCGSrXm1DG/y7/+HedvKE/Oz63/7rocspm92PN/Pdv+l4yXf03
qhvWzLAGTya6FMbvJRNhl1AxBcHlXFg29tK8CX+WTE3/jf9HoPvCNcJWMaD+d8kEIwEZszBGp15i
DWL9I1BDO1vsSEyB2LgyDQaHijeJfBt/WOwdvD+rSuY2iCdkoalZHEs8gXywFt6zsEXEseYv+PXU
mBhlR/oHjWhETtENM+UlqTATcsrOC2dew3BKHsdqGd95HzXpNf9fsIstL9EB/UEAB1eTkLKzS9TH
kEqfRaTjFRxIFRACQigbLPViFz+FhpPNfGN1g9dFAk0qPPXN2wXhby7A0F3BrUKIJ+/hD/dIZFrt
TEbeBqcTsb7O47bWcomshH4sW5kBrRXAYn85xHjUphrX8fYlvEaevt8CCzGPZpjUJhxkXl9BZySi
zYu8CZALwfnX7AcU+jcJ+8vbn2Ocy/zkvQaD4WMMormFlDX++FWtNez6ZamaoKzGat9Hvbuz+xrS
VOHuOJGTYGiFFeGknKfHacIeMlSheM/izgSKPzAMV3xd0cPnLjUnv52Feq9n0NeluXTgmnN7MRD2
GrQFAJlS01BmmUG+IzP1TTuMvW+jNNqFg7htFFxW45AbuTTW5y7sLtS2czyM+ujKS6ACRdQIISA7
XS/hx3WCT4dB5gMRTebOmKf5BjXIi6avmd+N+bFUCsfL25Du2f02xsW9vtqf3r5zrwUz8gnxSqgO
rC0L717DkU/whzViryU2qknDqAe1D2OD5TPhnR4Dmh6IS6CciiN3Yzeju3v7c8XZdskHg5TiokD3
BemYMvL6g/EYsWuyI9PAIeDKd/o8vbCdtd8LUQtoTB3+H/Y6bnGrM6+KhRe67NJ6azslD5QJnp+j
GefM4DJa4J0Ck83wtbGdTdVMNBGI81AJCgMfQQW04p1rP+vX5LVbALeQHDjlEVBwtqzVwTUw0I5z
xnioYhrFNK+wmZOabGCOaaj8DFZAwICkuCGj52LEq2fKokugtW4TFtbF9wJkzEToHSxYFVgUDwA9
Cl+agAP4L7mOvY2+fn37un9+1gZG6qQ4CAoSdGN2jR+fdc+xHB4Ulz0R+IY4nqrkqMjkTje6xeIQ
/AzrVDxtxHvvJ7/5dSnkk6UKmOYEbrh79rAHURCk5rZ5EEKm5eDuOhtXomNvfz+JZ59/CuEfruOo
fDkKzuvvV+Z1ocPCyIN4scvAbpvsEoDw+PaHOMbPdZ3JoQudRtgaQR/i7OmDX9t2nI55UIn8JbRD
ZmNW55ZkOegdx1NecleZ2FtGQNJSW7PLwsxfNGzjadzJYiyHmH1ncbeahFKL3lSASiN1n3cs8iyd
BH4SSoI5LVo5i7Ovatk3Yl7aiwRqgZfNQ7oZAdR2DIUAYfGfkgaqgQqGuDW1WWzpAxW/SvhjXWxq
BxpW8lYGEFj4AFSiBq3xssI+ESv/1MzAtaSxQM/nJL0rYVIjWa2NnRDd49zjrS1q7EbJtzyiiTqa
qX5X1Gt4GRKji6dO+gIeV+2x03A35DbtldklU49T1i7HaBlFjbMhUA2Ggw4gmI0uC05jfZdRh06q
zo/WyBo0sugjjCgGu7n7ELM4MGnJuG79rkxcZT/FI7RZ0T9pJW87lEJ3uyxZ96meTQLgFAgK84yz
cWbwYbmbGs+aulCWhU3G35Qcu2h2sMJqOLhDHYNQa34pW5FuI1I47scKUCpNVjbi1SJUME9ftJgv
PUY94iM8HTZR39+3IvtmZeyeWHLQ0TMkHnFvwJml7nx0QZqXAvVvixZrI1Agzwhh8rmx7nimo4fb
wehi+PNrGWRmcmSKVG5MmamrdOzA+QIBpTCKg4kqM9Xch6Yjp7MZOABloQPDUcr3wmE0trnOoym7
9t5KoBYX9fCBBiMI7fKI/QjC46E2ICPlne/OPE08gOpt26RImJA8NU3+QvCY2FjNeNX0I7BY9pID
lQVzt8A3M/ii3VSQ86Zfhzor0ClHBza1fZMRILbVGvaATDcyTwwNmH/NOq/klrlU9FeZxkctY/ai
RIwSLJ4smO+LqVWS5dGYj2OGDBySJnmjBsPyOYxeMPVnETCM2KjJ5OCuWR1mUE9pbpJssYA+MmDK
P2BFrW4JInN+70SOnWx8tHS12uNwz0QC0AX1Fd+R9vRgpUjBTg+GzuAGVXTvZxqbx2ntLhPLBjsU
gYAcNn8dJ0cnpGc0I/1Od3I36Jf86KgMxDNWuNbzapwWbrty3SFuQfYMc1orLMQbzgMakIVMZDX7
/grge3vUNP2u69vOM0eaT4NYMFK+eVhDIrsNSfSqCsI4nZgVhM0dLAb0L5saLudGENB4IDVN8fFD
SbY1Tule1SfH04VzuXQxQ7nuMOJfAhJs2ithDt0nci5JVehV6nU986rZcX1duW4DnMyzs3Fe8dfG
vtAsuIQwGZRN0uM+mc7jAV1ktE2hy+/mngyrggKmdLJg2UizV74HSzf7/oARQN+JvHmqat4ra05f
GourDpv0eCoX2HW+9NDMNs5IJShT8pzSDgZVn7OD1NaSopPtiZjGq3bDYYB+aKWfokvGiM7U9o4p
UBxCrfZIR3AAebXMt9b6yRTV4bQ7uSqrWI24A6ZmhJc4n73Abwlv0cnsCpqkbWKtht/i7oCCVnjU
0z9QKqNyFaxcHFWxQeqSj13He2wo/N6RWsu8kxuCTU5r58ee/kqWs6XkRsS5dXMqSoNJeQEie0rJ
1gN0sm4EQQH7JjfvOO9gIqXxqsBEOxJLCp9P52ibjzzc02kilg2LBZ3Pl9uOVdk3p2+IvfyLfCUI
g7uTWwGj37u+5sJOz6AW7k1SKIQNl6iQs+ngoLKWwyaWDcLTTSjMwq+09klNDe1gtulLVke535Jt
Towki/FU6RxmgORUOg/VYlJRrRUUB8Loh85Zen9WeH9T3kwcm1f+lkMGMYYUIfAQT2dWWHnwOw9r
VKqemfIezvU6X54qMSQkGjFCnrwpcdgzsKdCNuk82HktB3TAHFyJM++6mZ+ic5lZ9UO9wyYUZBQE
/Ybgi8xzyKPw3I6KwBrm18t9Rc+4qE42z9LjTYNaucTZAlgjFasLN1KusHnlT8Y1bTqVZjfiWLqZ
KhZd61J48pplVYxUH2fk0eguDYV8ujjhPDE71gGKqPqcgsqgifiFzcip4FR/c1kdpQtagCWHTkBh
Ve2blGxxuccRa4AiI2ZVmwMvkL1mB8viqkVDuUlrBkandhicPveHqc2ulTBfPqpxU+2JKSkhz9Fc
qXOGeJa1UvbFETz5BZXyQ6imOAmZbYPgiFstdxuiXNkYe16BsO2z69nGW99SLPwUR2aS8N4yFJ7J
sBnqstmBzWMUb7XJzZRwV01N9uemvUPzH2NWUbHhLX1zQ5VsrhIjJoVsKnWQMhA17PJmb4BOvsuG
yfGrChvplEHMpuqmZdpgbKTuW5wWpJxrQOujGclu1GDm9U7SwbyLaTXm5KVqqqcQHfpu5mT1VXGz
9XciXeortczIMquJGS2bKOCcQ/JAqGlPSKuTDZB4SUesJ15MlLaH560K+avZmSvHpLGKZGtQj9VF
a8b2rTZAt5rWRWyNiVFDJmeLMNsTzO3pk5u1vdG12ABJnBFMu9ERpw6UBDYmUWPGYF0wMt1lk7pe
rS2vU11S7OUxr7LJg43JJ0WO03U705zivasUzU1i5kwAS3yApyrHTNuQ3oz4poFhRQY9SjNyQCMR
o1y4Y6Nov6UrDVs/4p6pNSUjzLAmttY2LnAyfsrdglkN0o7NCLvoetQxCsgcHa4n5idbRIYhHw+N
rez5ZYYGuyxeSSBING3YtYN5mZOkE+XRBN+2jfdF4+D1PYcx42Lra21PPiaPXwe41xtFiyla+Ixt
Kwf3PKXp8y2roYVMViYotFT0dUYlVM5wUINFouMcBQsLlYfqj5Hh0TzfKhPZyC0FoIN8FzEa8GEN
flWi+FqZ2qukov5iLIwT33QJ6d5BQFhAJ3aVb7XF4rMnkfkEhAqssZRnBH0kgzcaY6bVuIsybBfS
Vj1AXMq8MuI1UNOh82ABKvsmiVWvmwveWnnyIYsi3agrZSkZkhdtrtxdDMcNu3gqTVXGy0e9NxAk
IDvAQJodyCit8GVKFVK8NSd/LPHKIesWwR8yO+5Lh9IBiKPAZvxrtLqEtRDM4K+WjftcRRNMxu+6
w2G/vVA5w2FRpmChearjSKMOuso+F1EcsBLqfQXrgmCoW/6WPNGbLs2drfOaYviNT46q3emz0+Je
lWCFg2cLSZYsUQ7MgTFNR3ccSEQvxzu4d9h/upAYsEGlaLIVyOscHRUfIYpTh6Jug8E/KgLa7EGL
j5lZPRFnRI9sqnfdOqebHrd7HL27+VLTMMxKVFLMcP64JemXrFoNMdTQ7NTRbK86VbQfByX7jCHg
TdTbQSMW9xLWH4koU5pdp9DDfDiCDqrcnu5altOVuT06fna80enr3WQ6D3qSHeulONBgzLcrTpR0
gfo1kwoG+5p7YFBhcW50UIKICZEmJrOumPxRwL7sRc53Jc7qBtl9fKu2Wv35RBYpaZN9LbMvcoMV
VueshkGR6fPoea+LfOI+G7bzWOllexUpyfRQ4M6GJwPLTUjwKonQsWEEvF0c6lrY0edkTTxjS6Pj
x2u5skgXnFbGkWxPs+tXviw9pljHmgwCeONVW+3zSAtCFXt5zU1fSiV+idjt25Z9qCvNG/JwMKGR
O3o/cwiT7U4j12rEMrkJDZNTHj0Bh2sYEPAlfYULZubKnlkiXsXaiFPLOgMQ2ZaJ32/UPlUFW884
DdOHqOaVIi6Jh132OFgOS3i5gExuXBzRYYf32X0zjMm2UEl1jlTyd5h07HJO9P5pl2t7vGQTbHC2
rrE4XsTA6hARiuPlZPNs5lhfiV+34z/aZJa5QfwCHGRNDBAGuDkKq8klP/w5nzp+S1u8qEgejkU4
Muth1zutfs6bfo+Z8SWH1RdACL5Vbt07cxJYrrgrcZvYY8KkemmtfJNAlWmsBFBE7nhtNjyRJZN7
YMT6HEge33b0UBSFqL5rXXQ0Ru/W21iDhCXU+GZJKGOAkRnO4ILAbrO/VIY1oeLWV4tYV9/ApWLD
/Id+FVEY7sriQ96OxQaXPpjayO48NwaVYrWzxSFVJZnXuDvtve7Mexob4cPbB/8TXe4cXgBjFMwW
mbKoJ++ZH6CyMR3tMUoX3PlLDp2ZDmBr9v1TA5EOSXsBcVXRSKwaeMr9mpOLLcisn7L60Ww+OU3N
UIppxwQ/G/Pq5DjYquJbtv2ATcStKuZ1qxNcvYcoNHiM6sptPY23VqHAkXJ6GuA++ngCMk9nJFsT
fyR9Eb+gLh+3Zm/dadlaepPSaweB18OlVc/FYVYQ9ZqjbEptzkC9Tg1psT3kfG3Seymq9v0QNiBe
v8chJUVudFV2jYvhouwCY+QpFmdez4yc8CLTtPmfQ+RMBEi/FQxaQQX0M0QqzRN8PXhTgrDjTIli
LrzsBhAJ0gwOVpGZj8mp8ILjY2fC66ZNNI1vP9ZfgGLS+8CGZakzSznH8nTHacwE09UgtTvMZcQa
77uWPim2GmOTKWkrQ+/U7Zgn+jtwlaSFnuNVHN9dx8DqzoCleQYk8WZrQ5K5ONFil70hvsr2oONp
98lk4b7GCO/LoKbMVNW1QlKU3lZjMWIqJQJoR9rT27dBInA/LW6VfDld2iYxI3+NnQ1iwH68mkhV
kEVAAgZGzyttI+b0W9NAUUV1ffsjf8bsEawKRMOMJ1SNxvv1R+pljxUboBS+QLrD1HRx/Cbin7S8
epi7Fup9rEzoO9p8n0RjsX/7038BFjIn4AJc/AblKOv1pxMxV+mwP/uAnCGSNwB0tnCzundW+C9u
KyizwAPRAff8aUzFbiqwTTSxgNASYzusPcevdP5COMtN5xK8QMLfO5+o/eqLkf/KwsWjFXT/7Is1
ZRvRlhR9ECVph2sqgHnSG+0FJQEoh8CTmO1zU6ugZ3KKX8z5EowzrP85gj2fj8kfa/749r0+8wSR
eLmcIzLCZ7EDAp8trlrya1y15h3L0i9VbS7fvje/WUqPl8/NO2mvcsp4tpiJ2bVtA9QfK0AO5q+f
7SCQA4Zl1gVOYt+0JNB6pWKWPrpiAn/omjfaaD0befqxVtG9qDb6FEvZjMl0DS35j545Nj7IyXr9
9l2QU9mfLsuFoMdS59WG4P36spDq1UsEHzIo3BGcJqd5thpKzaCWbJkIMIeqOSDt7z5hZiRjDnlE
SgzRNVGqJ62dAabo4zZ5LcQmqcqFJkO/mYgjRwuRfrW6vdmrs7catCC9faF3+p2gxxki2FhFNKRQ
tiM/tkFq7BX/oL5ktiSnjhn03o1Qc8yn8VnZYh/N2VqF+5WH5DapoVJwa4Cy5NjutLHhOttevH1v
xM/3Rk6SocjrluvCuDm7Ny72xT0HwzpAhD5vFlyytsSejJt8KsDFbALo0Z0lQAdYt/TjqJ6+JtAq
oT4NxiGO5HqE7HSwXrLLWh2IclaZEo2yb16lJqgrohXr6ALVhQMSGhXv1rNzBgjL3DYdVchwZ+xN
TVV+xx8aBLAM6nxLs0lT2m1S1LZQWpFulHb7NGAQviH54UBMcQvPB1mokie7dkKF/Pat/HnxEz9J
oqwQTO5RqJ7dySJd9XrEbgGPDsSJEzdGsBKScrTe+aBztYv8vjZzVxctPa4/9nmlYQoSNpiPo4Iq
QQVT+h5tydZdY/flSw5BxCNhgMUr0WWyIHCwylouZnAXTPUJl57q+Cg4wicT8ya74LyXcQTk/mY+
dmZAJxzewbcPrc5sXs+B4RBhKv7bd+tXD40BHgNQ01ZNmFxno6mSk6vAaboO4g7bTJHjytaWZBsW
HV0nLnyNr0/DH/K8tGTAT0MTvyyF807F+rlA2tAimCfqUMl+3iZwvyeZV9PqQDWqbzBomi23gQ/L
W1xDlvc+Tfw8wbKRqtguc19dU+1ztxIdjzZHtQS2cDRUu6wmtkCOJdcOO1xXi0wAXBrqtWfIAc8J
3v1aPVVzlWGtSXNvqNGxdrTlOjeadT9y8CZjllReokfxkAm78TrVpw9vP6af91Gu2JSDYtuiop8T
CVpztosOV6GAGNgkqLq69xR0GP6gcn4Cyla9Uc3fGVr+ouHn01gRKsIMyvb5m5TTOkxVI6ogTAE2
8dc0OIjP4pBWxryPix48Fa9VTrTDRQc8deXqAJUSMwRvV3wkhKqXlEAIIYMir8fSCiBU1y6BVrQd
tvt+jVie7pJjt272T/gqgKZLTKREuU5yp4vFpi2rWWKC18rxiyGG5C7jRLUtKj3eI0VEF511MQmU
+se8EStUQIZ6NU74m5Whwy62ZTMfTm5gygklOiT8OMBJTrONKjfUDTO3r/IkbCU9HzcT0ayFX3Rl
nrd13U27dWUZvv0of1k2LN2AwMNMWIWz8bpM1s6axK1B2YiI77vNCsaYCDnXnTANjEPAMdkDOeQm
rjgCm4NmmzzocsISccItBK/+drq0FzCiU60vxMRodEmw+zQ6smH6Xnw+jTYNQgHh/BTohxh338Qp
D+Htb/JzA+tQX2leYZyoAoL06y/SRgYjWEj1AXKHBSHuVHqFLV8JIx6votYlsMRZi88GDGFPJ+Xi
nT3z3HiH+usIwzZ1OC/wX3Bve/35LtI/ohHKKlBzpmiVaOdbLQPvd3KQcL1xjUc8p/AQ0uPsYsDJ
zMsMdshZAcdO5D8R/9x4g2oXXgS9PWDvYqIkfXORUX9RteEyW6onYl2S7Wn+ALShEdfK8Dr14zBu
n8xaTgNwOWa25DqBWkiMj8xKBml1ctfCaX1UczJGVPfQjgT2mtZq4iVFVcFp9IX/MvTIFfWb0aV5
UDoQbDKbcePbD+kXnQUZ1Ci8pC8Tu7Il++UfduWRWV2ZYugSNAwpTgOCwpAjYdw7tnXCa7j2ORYL
2XoxYwS0WbG12IbJI8OD+uI0hllVEnrrFgMDduu7XNa3xnpAFkYuSl9/LpnoexEa2I2tFkvw9tX/
XPdwGaWj4L0n+uqnM9LQK+hbAF4CxTECLWS+KEtFtgBHntCoPCzeqXo/Nc/EMFEHdA5l0BzY2M9W
VUzqJI41nASBtomIqnsbzQHb8WkW050e78BQaKS+wOSANDLIMeDYS1czwir8tmkz34TMIiV77xWP
843ydHEmfS3vm2QNyZ//8DCthQAIBSVNkMTwCPqWa8DxhCkA47Jc3pW3b/8vPk6+4jCVdI3DxE/b
TlabHYNIMllNuWoh9C4KDZXRsXY4O753InbOu2CbGkdFgdEJkQ0DxbO1Grcj08Y2wSs4js2Di+6R
Wtja3my4O0ZNSFsmIlxwsUUtRSSbuU/w1d5rmlJCyjbsT5NRYFk8Dnu0PR8QL8x+Y2ESakwYXk28
ox7oSndFYCVuCtiT4AZQJuiwsYsKRxx7k7Uvd13CL0/GFhtgRbkjZFp63pTajhSHhtxMUXjY1dd7
zjBGvFWqZPKI5yA2SY/HizmcdiCSjd9GjREUItIv4XKQFjFkH7pFNbYc2/TAFsimDK1NDrjRpig5
s+hDyTl5t2LeLK0iHG+I+UEslCM08XmjTc1wt9CokR8Zpp5N/Md1WI3EVdPRgQi2wOoJc2qvzApC
ok3qwaYiCN6ziqbclbWRXA5pO04wLcoMlCzUUZA0zt5NuAalDtG1KL/XvUGWdSKwDRq6K8dSVuCf
VfsyTK4e4MNuvvOi6eeNOhxxmjBsPDkQQ8OT2uAf17IbNa2r5OzyMCgcab7F9DqHNVJ2KpNteqlU
FOqHumnKIKwnA2nVYvioh3iAVWZ4TotLNcwe+nq7xcM3yeOvuUixwYJ6uGFnwByWBYSPPC48DgXS
M8q23DFEgHAv77ajr8rDUk3GwZW/Pq36D30sHvChRbA2WzBJzAEjgrYo9yLtnHcAp3OYAtofLxRv
MH0MhUY9W+pUTs3Um8zZxe0atPGyASJ65+09L56nj7BhGJow4zVTPbvBnMJMgIDIgTCQ1l6FXcV2
bEeOGfUKGYREBO6N8t6p6Lwp4EOpnfivgrDLsnFWoSKFlCArxvutqWzi6SO33dar2jB2y+C664z0
FN0k3Bbzvq3RZ907sJZ23tvbqFJokAUNPHgqiMvrVbU0RT6mRWXvBqtWmMunHU9bx2orlR8Ymu5F
jQtdQLV7AHbIgtywxo9vV80TA+5HMPF0DUDkhEqRDeNKgviPK5vXprUFCVQ77BYVb1yabl8YestB
XO3IFRsTd5sUaveMzC284UYaN9UM67TshfO7ktmrF2P3sO0mI90Nxeo8qR2pw2XT0d3F9a7I4vZ+
wmDhwmxtvk4f24emMSzp79Y84gQTIVwkvSOY3P4WpViNEZWSv9N8mYLv8Oo70sDiNI8KSAe4Zm9+
/R0XfGmMhi10N/BWHSa9nXdqHWlbd6zGy9OXcIc4v1WnyD50MT9g8Bhu3VVdPSyfiCqiBfN0sIit
HofR3sUCEAO9FPEYfK4LtNcvmPV1e2W0oJA540rgr36H4Yfu1y3pEuuKl2ne4JFumCtGurONlbzZ
+YqZ4raxWo2PRnaF4VPJGXup7IparF4b4tpax/Mua5uObI/V2dXWKJUp0f2i4BthhVN+u6z149qm
OkVouDQJyN6uGKESnhSP11iK9E9KVf7x9pL5P9SdWW/kRrat/0rjPh8aHIPkw3khmZMyNc96IVRS
ifMcHH/9/Viu7uNS2S40cHBxGzC6YWvIVJKM2LH3Wt/6jA12cKxoNOHRVNq0guEX//hx1q4bJgvn
pm2UtfROeqX1gbickmi8BdlIIkhvkqctNdNLxBz6Oh0vP7VqZ585OQjJhO5VxnwZ0hiPWVoO8RGA
uPrazOQeq4u7HPkt4jTAjmEibBKtTnKYx4cudpk6vC3ABI6c8lRflUj2LNmZ20bHhYupp/UVUT30
IAu3w6TcFTSkg2xpf1XZfLbv8AlonLl5Yg1SakzapT9+Aik5sIJ2Cvatgc0bXK/xok8gadm0uAU6
7KxAYRy5kyN0AkMpFIQ4TYzTWTr72UzqII3DlQZVFfdJtMo7Eh67bOksrPVWqmz1sebGFJEStIjj
ArXlHpllRSxx4qR+rzraZm773TTHYEZ083YcjCeywGFyuvZtGCfvnHXwpDOfOhZSsffE1ZEIUSbO
laSe3MQ5ODJ3yDmOl3EdFLhmd4LewM5k5LdlMMmNPvCS0CCMX/RwfqrS1rOkho3OXde+n4rCeSKg
bFrvHQJ8PnAbOFfrswITN/VHLRp+0ca1f9q5VnOVgUKNTq4OdOpTgVz09KrUXrLCIqcKSPh2nxCW
xceanBkf5tm0BYOUXsRCxkcdlrDHdLlhdMWHPg0NFTzBZT7TxMfBDU9jJM5DQFBbDZXPJM5mrLsw
oHmuhxTJK9/r19SEgeJyX7Yp2wextcqWsv2j6prlWq8Q85HWOHzVqqrb9wbPQM2h8JR2Kgy2yIi2
MZL4+3HI2xsG/mFAmu5wXcP6IhUFnUZmEoRuiKXZRApHG8RcLoA5cS3xx+zdbGblWCBkF6K0Ty3u
ivNRZVnu6izbduvbYWKar4X4cG/N3FvdwDajQP4rfEu3020Fpvu1geFzoauVCiKqVF+I6cyRyGiM
s+O4UrZuW9B2HiJl2/BB4hXTxCamF0QFygOx/KIq+JO7hZuEXsy3VCp2yR+fs06IPCsiVLFOiygn
tfj82tpic6pMQiMsHoi/X9p+fj2miijSKbE4qFufT+kiK1EGL5W1zQsij4aapwHZHJCTNHH28WI1
v3gatJ8LS45tFolbGgdehnnupxLEQd7W6FFkbtExGZtkRhmqYZ85JQWDqHJR4+O0RjJGndhCbmwJ
qWW5EAQ6bCrYF75N7KRvjnboT5ycCV1lo1IHLrUKbBpRgiZ3dcOfkoiqvSk6lmurXDd3K2zZeZL8
yiqr13ldRqLSCleEMb9dy1/RL2IFFahCUxKWoVwa2l3lsNktwjnPhzjbMmX4aCq3Ilze+gBy+6rH
vHdFJZt+Jmr8SF9L3xAqQmOlau+6hXudMI709621zii1WieKn1CUGRsChZdriMQGGhGeJhfM7S7m
FjxWJJQcR2lK+Lvrbkrslh/V1CVgSNhqi37x1PVZnXXWj7bo5y/lwvqWDdznS8MtnrUtGPGRmh3g
cB10Wd08JEmmbPncjE3e8oZq264COi4gfxUwnsvcTN+/mnO/J3MPptpWOM0TstEHvQ41YEJa4M3r
rpvGencwSenkYWG5SLSRekBOCx/i1B1iqTrnWsMAv4decHBl5OzhnvbnZcy3qBEVRBm6ZHlViL/R
fIPMiLr2ItFQEZETWbEv8GcqlpZeAAojYWzQuk0PQGqHR8kl+wLAtJvD5s8XcS9m+61Ar+tnuakf
eDqHE54aY8MKxl1szaR3NDklS0IZ/e1xdwUfH0pTXkFhF6hdKp0Yeocfu4bk0M7l+PZ0fTegX/1e
cf0eF/5Hg/oPfs27quCfb6b1f33PN2P6//zbf5KlEyfW6kL/a9v78Wv7mr/+0bv5/Ue+m91toFOM
ZZDHO5TftsYK993sbv6G0xx7DKchBg3fItv/6dzUf8MGxkzAXBUA5JVQfnw3uzu/UcertM/QvZAx
xrr775jdOd2ywP6hcl4NegJbMR0cymPD+NyQc3vk7FmG4BvM3AZbHjiVvgLd7EMK7U9lmrc+Ai39
KGCJ7NXCkAeauFnuO4Vbw7lT5KM5mmrslXARn0QN78xXOcocCNkhzc51MsdGhUcnI7IG51KNpcCC
JcSYnFqrqd7MxeqPHflg7Vmvir71e8wywzYyQwI9TTCShJQpLoFaXVKnaEtpYQdxkUfvNFOtArye
IwjIMdJ2ROxuxI03DxhQjiM1/z2B0Sm9ai2eThaxfMela9oekr8qHptl1B9DegJ3HbKGS7j4ANCH
pVM8UarR2cACjRI0izuUlkRtnum0xC+6cixpbCkqROjBLM3hjJQ5QFoj5CwYKnOs36rlSCxPhnMi
p24gbM7LIhr63mipdhkQeT+Fl7FNcvfGipe+9Mm+YCHrgFWPl2IobLK+hCkJxguB/FFrYGwEAawh
SAHW3qqoVov6oxmn6qT3StJt1GRuT9WcqhZ5FaDmfWFYVkyLKZ1vx4XzCbhbPYm3UhJmBbpR0lwa
AW6QkTDW2VsGUbIGAdTnVTB3GS9gQnZ9UpMuvcyU0N1zZUykUumwR602X4QVKXj6uAYrJ27aTpuu
U6t73TCgaSzpGkMlonVG0k5q5EMvmh5UkhAZkqjiTZ0csDS96C1CRvqJj8aJaMh7YyqQblud/tig
Vn90IssE7k70sOM7KkHgvmnbzTEtelIl4qIhBstpmJPXEkzawZxkvA4wowktL68QMHQfik3fG8YN
8cDV3oqa5LorTFlR4gAA1NRYtNyQ+mz7EIvGC8D2MZwzdFURUK6vZhmT80sNSFpBSKOVjyBc3IM5
KOkcrNqkMOhBl/B9mnhpbGhehFqpRoZK2iW6SxQmdq0RhLq1nydlCclpgqcZ9IIWf9APvf3ckIfS
eqohurPOWSbmSDWWMa9xmCx5ak2+ndAQLSKytEr2a7U28KXVGXAF3Wn6bUjsJ5QXowyvi2FCKlDP
2bjNJv4wb4xd8szncq7JjtVle2pykb33iRmpB1KzVJ/ssL4NRJ5WEBFGM3ZgBxgStaib0I200Zyi
18wxqdCRMdv0oV7ci9zuQXP17WiTdi1c5OU6qYJwMfZgMEZ4Pp2aPpT6qO7Mcl42NifpU+R2+XHG
KrZtJj3E55WN9ng+u6XUMBck1UM7QjAeOohsFnuuz3ZUp2emW5S3aP03Mu/mYZeGWrcc4NMJr8lS
61ztHTTVVMLqyAuQuuChhkjqLwa55id9WCcIyJeL/owwMOLg4ACSjNvM84CgwpgnkW2HXoXlRcsj
BcZdpBkTbaWJb0ZCDL9k+djAOoYuEx9G0LPLZZLl2uxrPDL91rXQWQejE02kpBMcYDgHATB7uTSi
fkbJoCjpg5zpS3qNIa1+20/mjPbVivWeIFBy4wwHiSz5lGtMC2xpsH6v1VSj73NS2G2I3rFLeypP
kl9bPZBYy+Kv9f7Lqt1Z7euehIRiqq86fZA7ra6z7f/bffuHAuA/CDy5nlKRjpK9a657MB4NOh1/
vdUHr+/t6zfCzcVrBLdh/zp8zZN/gHT4x1/Cb/70Jb6XBsZvdFigqDJgYP3nbfyrNFg5OGzKFjhK
Bop/JFXqcHBWKRV4S5W3jU7zX6UBX8I0Tr1CQ+Dbr3T+ndLgp5PL2i4EhEOnl4IGZeBnfmoTkiAd
rcaucLynJj1377QtB1gmb2TlhT59CvA2andj3LMtEiu4pPddk2yT4jGcZJCsrGSa12pWvLhQw7KY
KT0eNGVrO+1ugH0XdsUhduCjmwHEwhSz0mM/vujwsZWZgYeKnaUmh0OfCa1sabKc1c5HO/n5niie
Qb+I3klm8UrrNINAKcfzqu39UHxAg6f5RNYrTjsNHnoqCzTd2gUjlWAeFT+PZ/KwWehgSPoTp2dL
2akibbepJiO/6vOLKQaqTuFcjl+w0d53Ur0umiWm54e83DLmetPZnMnKN5lfCmcgfwBXpacR6WFE
o5dThBCpONr6lZamt1G+HAyj3aqzvlfM4oz81Zxt4oRolGN2XV/ib2HVANTH2GwjUvUqp8sz1Wnq
KUb1lcWg9MvGfFZTZcdl2mDR2VQE9KQMd8wu287m7LeSyki0IAW7cyORVxIlmhYab5ktrqaK90p/
1kKIoD9MyXy/Upv1ghhNEwVFCvYUJZRdeGLgtzJyuYqws3qN2+GedJKLZmVcT7/o2mC6/FR2rs+d
yrCe6RojNvFZvp0NajclleKC4iruW4mBxDS7KziI+3gUG5glBMXY4kxm5S6vL61i2uE8PMrC6YNZ
NUgB6QZSIjgiiSTfZwq5YP24bTFTguYGST5U22mybpH34MJJu6AxkmNTHtXe3JFyc9RmsEzOho3S
q5Pl2srjPXLnTau5F5JLWM/Jh9laN1b2DKYVxy/xCm2xjdJsS1SIDw4Sip4RMINDQGYHBE4HgAj3
TBauWqvdDoZ5NTNmF2Z0Ps00NqdiR6rFXUomIrfkbnHPTO1FWOCSlv6sEcuFWo04Oaqo8Wx7ionj
JBB2Lrf1ADaoPLebfIcY3LMK50sh532eY9kaKVN6Be5P1i+nBV2w44Svc21tKzxMBb/Qg+mzenDm
M5aLR1DY5Evf6W173obmnojPu3J6WVJrOtb6XNGk1ShNQsoZmBlPCgffuNZ2IuUWGYW51YS7b4z2
XUWW6g3FfBnNfUjQZwWRXxr9sRkbrxbLL9KMPotTvq3OsFIMjk6cTzgN/dgdWiqijNqxDDeiyr5G
Sv/IoWIXttpL08b+MrRnmt3ekJpwsfTDJQfrQwq0I0kIgM26Zisb+5RZDB7TrgbA7l7iAWDtkjed
48LultlVGg809stf3N0oxj/d3cwQbe5vFnD+hLXf9OP77mrciZSb4aZhGOilunEWYpRZCFUjJmHN
ToPRn8cOUIqBWGSxB+FaeI3Wv+r2dmIc3MSQGG1lsTx0G8vawOCejfRNpSd7u6dPqIsc0wb683DY
gbC+StL+tla0+8WIArrk75E13RYMydFyy4BcJumFlDNeK2S1mRzKkGTQP9Q+7ldLvXIykP1wM9YS
Oet4Ew/D1UhMei1CkLOiPI8HGgxCuBS8YLCNbLijg3Q55CaUYqvGt5PGG8uo70apfGC153CYiA+h
5LedSJ+wV+zaocuxDn/UOZFDE7K2kncQNYcWkT80FV/G1gMZ5jsarPBN2i8jabuk8WHVHjewgiJ1
9NUBYRVc/rLWvTFBbhVO5LnJc+gMV51k96hVnVk4WcMaLO+47x/hlt03CGdFaT4tWXMfJdNlr5dL
MMDiXRS5N1LwkLAesMvcgsfcq+QtkZL+Fqr1bU4Wa68bgdB53lMrEKlzhSP3UNXj1WgiCMud20Ij
uqAvBKodd+NqjNEiC7yjuuXSn1QN/BZDbjElj4iq9wOhIdIGKTuTc3yS4bLpZmsr3dzPbZDPeJyX
25XXRpYzzsyjW2cHCPGPLR/hDuFV4lMOb5uy2DnZsolHLDytIT+yGF6tFFe9ahL4kD43xSKJYUwZ
Euu56i+G2eA1tuVjWtjXJJfheoOHVrbj6Ln1cAUj963JzQEQzkfiFIdQcR9NIJqhUr0DF9vW/VKu
7LATYlF+YqiuZJPtOZls06q+LUZxk0Xp0dTnMVhCyvTFmn0FxFmoyACnEz3pMQgjAgXz7CnVxz3k
yn2x4ikwRmKmlsW9EZdPUWedptZ4yIlCR5b0ZC3N3VT0mFzT/tCE9seiG8ewj8Vm7HqyVbQIJLaw
vR7IUNBGTo5RdDllxPXRE7vEqNnu7FZ9NYlu3qBHu6mM+RVrGkqoXj6pdAk8rRQVkrb5qjUlyY3O
2WBz/jfUZKNkh0y3HujjAH3FYqPH6Z3WCRTD/VGdJgT6i4tzMA9wS+2VcQomqLKFiILMCknpGD2n
xX5oujeiV86j7HnBmF2RruGG8UU3JNcGiQozd7uZ1h9LoqOtnv1pcm+n2XjUG8SUcjm0WnMTKl+G
zPlgQvkyobqL9Gmr9e5bapI+XNgDYY3WTeh+ReGGjnBjKhetc1FrF5ZxWfY36ZBctWQ190btCeNm
mHU06c49Tv2VD+GvKYClQCVUT4Gefs2SGWycA//zyXbvRtoHyWQifvhwk5j5xHMf3dpRsRNO6znm
tYKbMOrGm6rXuV2U81S9mQiIwjt7UsPcs2cU4exRiTAPjN1x8G6yJIPSirxFXGrjGycpv7CNJ9kD
Mph5rjP9yXGviok4mfxajegksFY+NjhO/T6xgij5MuIRLvqPKa04CLtfJsPItxwevyi12JPwt88S
7X0YU6LT3bjwssoNZsaNOETJICTvVLqVc0hjOrjEJaD6jIoHhGbRZtJn811pdc1zFAR7hu1sCUg8
Wm15F0eNHSypdudmynM1z49Vttzh/LxaQmkzNWhXIgzBfpHMkEDmTrmxBbozgtXe8NrvnMXeSyRX
Ao69rzqUU1E83SomYdMtLGBmNpw+x1eJSq3X8IKMoeb3pF4twv5SDMOZO8Zfnbm/c8u69ptU36fp
HAUVPFsShIpsE9ok+a2N/HSQdzBnKe0KgA3mqaqNj0zN/VTbRVKcmcxQtKo9z0a4DJp5HjfWxTzL
nQPhDzAK06jWnNdukaUEY+OCLrZIrOxMV27yjIPuf8VLqHP+p0yrLfcq01NYJwSbJmrx1K6D/aKK
Icx24Y0Ra2d8NmTkuPOaeg1WsLIJs7fLvvdUorDRI4vb/61D6/+HZEB6uWuN+9dny9Mr0uDX9/Hr
1/qHXvLvP/f9wGj+pum4wV0kd9DsrLUx/b2XrJNDzMSawRYYGzQ8fOWfvWSNXjIeBJx90LlhAfI2
/qeXLDSOkpRY6zl0PUv+EyH7Q6//z/M2PsVuInBxSeNZTQhiFbxon0UYVjWiQzVKclDH4swtIBWM
ALXxdrxIgkU8tLtBJih0UwbboROtOZTqA7mq6qnqhidjTJ+xd18I4sR3E7yLvWzkVQq93NeFlgQV
Dc+gqdFLtVb+BLQiB3KUPY1WRSdpPjNcATYemY0/1grkgfQXmvcfB4ff/jgHARGCAAcAIy7BH0u6
VKUiWObKDKYiDTRaPFn4Ubb1FUAo/w/X/fvn+o+yL66qpJTdf/+fz69kciWtdV6o8Y/J0PDHV4qU
VrMHBBJBp+Etj0pqc4UzLo9yHQV//1LGOl79Y/ef3FGUDvQM6Avzf7r142sBKB+hnZDIWorhzQ4b
m5DX8lHOZOa0rnYIOW36uUClRXJTHdhD3/loyAcPR0u8C7VR7pe+3pmJ/cx33ZVlca5YKFssq32K
lPFYCZupYWDSPQssUX1pp2L2a4N0i6lsTrMZAYsmCXobGioIdWzgBql8vhyyaWMCI8LpP7+KYXlu
muTFaDik5pn6K1LrT0dR/nhsPqrFKAVn4LcW0B/1UaFlx8NsKG5QOQwlAUJo+Ez8OpbMY4kyq57q
QkDhBmAETXBKwsQzh+I9h2/+9xdj7TV9uhichhGscSw2dQbUn1Q3czxNURERN5NLdkGtaSDMK/aT
w8EmmLT8Le+zo8lckqTjY9vDKbTmaypze0ebJPcK7ARG396u+XGT1exA2L8uafRSzEh1cuvmF2/2
p7kRZ3YWIZOJko2k7yenDrJTJZNTvFHVBY0TEUW2Ot6Zg3rbKOKcqIu7rq8OqSv2y7ROM9UHJZ5a
5KGGF5Nf0i5Eu2qLZ5Ms5C95jPNC3I11a/5CX/DT1aW34FoO2GgYqMzR7E8CA/r/tkgSG+Fbkt/W
TtpsAbuPHjOUy3EdPYWcL9iM8SsIACxZu7wMzXILP3jTc8L++w/tkwRy7XP88b18PhaqAuBnbudh
EJYxLR4AQ65GExv6n6Pvul++3GeL47fXQ/hHU5ArZdPJ+/Hpto0wcxbCpQNDMmghiJqAIkmjqRi5
K8xbLcrRnc5FhXxcif2msJMrEc8Hxnkv9mzAYkNOA8mroMvmlk9rGyTq3G2RdncIC7Ij0c051FJ3
IkY1uXaZ1QQ0y2lbLSeA++Y+FRh1aq1s/Hag0iXeAYtOf2RWCme/BKRkms0pb5RoG8KJ92paTnus
UPOmsqiarQL2kI59doMV8ervL8SPS+y3hhPbAWE+7FX0n36SZRpq3lWSC0FSzGYxo21aX0wpGIHi
F62Az+YuLgGNgG9QT0SoaMA/bRur9k9n6hJvjNQ+JkP2tQSuxfWuO1C4Rg+HKX5Mp/EW89YBBsWN
MevPoUOfdOjClzZ0/NLq3iObg6ma7dtcv5OyPZ+qfPf3H8hnvdtP75P64Y+LoBq6dqTXDbXlIk6z
Nm67jL6hmhZPIRs0ZophoEk7JLRV4w7CSHne4p8lVbF5ipaCQea4KBfC7JTNNDUGR+tkOG+7Fnm6
PmZ78rbCXdQI8wyedfbQj2bl1428gPg3eGbdd4zzBqi8Oti80uWFhTqQVANxHMaZqXsQ1yQn1wT2
li57giOqx0mmr2FMM2Cqx/lltvoHfEYiWKgcPop6yEkeiVpad0105LC3bLP43/RRrx+ZZhNwSGml
8b/WpyZPJl3KDaN0g8gKSVHPWATxSRk2+nD99/kMY5M/L62+6ZT/uE+vr0XNsbruUGMyr//x8kyp
2vSdwclm0BfjrO+XxyWpjWPdztED9A3TA3NOo2M+76KPyCbFrTK62sPP2XqjrFo0L5rgoljtlebO
v3hz62t/em9Im3lqXfCr1LmfbvE8HbTCIvU9SIscxdzWtpTj0tz//Q26yiQ+vwr4UxYxm9dA+/Dp
E4D6GPWIfiJIarHnTGu6igVAKlzd/Em8jq/7mzGq69e8se7Tcb62OsQ7iKR824Q51Czwkpo24aTW
TVek6MSnHDOE14a2+Yv67c/eqXAQl623Ba6aTzuOTI0wn6wEbq+oWFUSgrDSglEgHYaIjB1PxPZW
RY7g6PIX+8sqof/hSuDZ1pH4CVSXKiPCT1cCmZ9cIEWFAZmED+Fos8QQk4GCyyh1ugA9Ou/mFy+p
/dlrkpWALAGhOwvcp+viFhhJsGO4gduEeEwUzaMbMJ3VKFsCPaG0L/q3OBvum9h8BVP0qi901Ohu
SNIv/FipqgtnKj9S2zholY2+4e7v7xvzpzoFvxn1HQUu9lGGauv7/4NHaVIajVRNiRaS0QFpLrvQ
CrchkDbiZWNB6N+SH01uonHSyQ+Nz/pFvHQV+nEpwucWEir9M/MGzcNHGsd4F9RtNDCqVbLkahTZ
riZ/04OHRzutehPstxu7j7aoJ91DxZeX2hzPUug0Hs2XYJ7gQmVW93Uu1Lt+Np+1LgpIptkObbY1
oxBkk8Ew6O8/AftzWWljWuPYgrEYqxY2pk9VQJkgjne02EYNat/phXVNrsveLgfFq+uJ9qMr201n
xef1FMEtC/kvFWSldoZeKqPuRrbjDVoANgNFd2jBmv6kt2zwtuo5hfpkk/AcFC5BV5rRnqJO0n+c
WbwbvMztKDTPLrKTHZkjA8Hwlejv0sMEcjsY7jOMtHMtMoIsJ+06ZTdIZ6g5KvoMJuvvQH1rxHjN
RdsnwcAb1dTiMs+n05Smpywn/WxqrNdB4j02DOZh5biTUpxXSrZrOIMgbabjQ6Nv2Zol0KYJg0m1
QnaQE5IKWkzBrGXTNgZaYEzwJvjSmW7Vb2MbXVb5k724m0R+/cWl+Px8OvCe17kXR7s1ofDTytAL
6JbwsanHdB9nqmXvwaPjnNOq75Xm/7YQ7z9oVK/RP6Ge/usGyvnrezy//uOqfX3/2sU/9FB+/9Hf
eyiO/hstEo69GpK3b1P3f/VQzN+Yda/lMtMmhvGsZP/MnhG/fVPurfgSFS7+eiT/3kLRtd/YkUgU
YNFlE6T18u+0UNYx/qd7BBwgvA2sF3ix/iw3RCPud8EosJ3ynlR7tY3inda18SUSE7olltTAV9Hz
9mGO5qfEmEftzClreXDGhOBsU08u24aAa044tDfZIt27BcIhWIgq0sUppCEXP4CYpkOnKJXzwAGS
cRIQk2BSDBX8YH7TkIVwj/baYi7DXK0u1QfM3RPrRTneJVZd3EVLWb73qBcuW7VI9zoSpjOBCebQ
RkV/VWQTxgP0jlPld7nEFdrEyuJLndZjbM3MLCGuLUdaSKPqt70zX7t9OMygn0VeoalrbspJFMsN
3Vpy7kW8FLc1sVQDYtl2YOpSFe7ZYo4aShziZNGRmYjoD3qUD40Hhrl+VxSnR77bAB/0jAJNz6mf
Stc9G0IMLxs8z3p7DbW6fjdbs0p24C2y4UHRIve9Wpbpy6KNlbbXW7cpGNmg7YrSEftU4sJMDxSB
7ecS52Q5ni2KNXzI0Jbs80jTXnK9R0Qt9ILo+tC51s3Z2o1peogRXqJeQIOr7qrcEV/gO5rDwRBA
QbwmbOkL57FQyQ2carpnQ1tttTQCj4PYK2McPKt3Zlclz31uRu99o7Rvk9rZF5zXZnvTOY3chPEY
4ecs6vFI8YSunM0EEITVFjs+FVPzJTNuAkCJDvCapGbtGYjNjFA8nIxcKbKXhZvjJk0x50M3LNUz
SN4ZMY45ycxL5OYeHV3GJqrBIKruGQHkkYiZLyAjs8xM13csv/aZUqfRCVPnW19wt9DiySKmFRXK
kCRKbx3GdF43L2Qo5fzdvRMKP8XTGZNkN1WvKq4zVJ698RHlhfNotgU3uaaSCP0S17bAUpoTAdFP
Xww2dMxCA6j0yYoC0tiSnZouMg5k4SZHIYubNU0MckMbnyxrtq7XBsZz2+bJeTQmnSC/aYl3jbSd
t7aAZQwZW8mfUCvSq1Z0a5KeSCKmlLCyioQxeklSUJ7mk+OrMXzVs640lJ3tLA1oHELzTmM4JEFa
ljcOfYRNUmkm3ZdU6h7SvbvcNIfn1rQJVa4H7nd6olbsD0OH2ZJQU8cAWlosr1ZBvuNjr1Zx4idT
TPpyGSMG8SZUjuNBJbB18MZ+MRwko2pSHmAtJRFH5iF+6sZkor7QIlltmWIM06nB++EGcTYSdQ21
wIi3pMvqDeXWqF12GLNshjGteCbAosWq7US2Ary86M1HvGCNcoG9GsFNYiVxv51omFkkUXb6DLJ5
NKztOE8zdlg43KRjq6WV8azrUTldmI0d9efh4IzYmBogfLeJy3fdxM6YEfxo0y98lNxdgMbtnL03
xJ7JGG6M1dqH6MpgvCYnci/jRN6paW4dHAtb7m3WVcDIEgVs9tdxmOvTkFc0fw2aiuUKss4f8GgD
VDSrNPuaj9Jt0TITOuPVWUMCZGTBYedGWtmunaMgqy0B3w5BQSRN6zICJm9pjDYk2GbdgTuTZNma
TFtPc1vzGndkeVGWlvUuFLj2e7q1LvZlZCVfDDdvFa+IsyYA2ItCN+FLLBKTfl+Ct7tvTFIoPTXT
zC1Rn9HeUmswSrFDXLhtJQ0gJM21dA4wRQqXNl5i6bFA2p3fpz0QJf7EItDwUYPdjSGwc+bO6Mqm
zG6fARY75wOw+0fEPTMSWmucL3oYsGdla2BcbinsNqxD2COmzh33QpPwb93GvSKoFGm3k4KyTBUx
XVtTP5MqwvGAUNIYp7G0yBXMYBwcwkYnIKPOJ+2gNXNylFjdfEtpmzut1I3HQopxq7XG7C2lKw59
MkYSManlFBCuYVlOEWdwA1BnuokSJVo2kbP0O3Xu3VNdSQXDfmdkDOsw/sVmWV8qsupfVQbELwnn
2Ycu1rKDIBh9q7ZDeMNumTi7RrM70lnS6UsjE/Ndd1GxjG0xbgervHVZliZvbGy328RDdZv2JiaL
DpjQWdNkrLzo7aO9VjRGgHiIeEQi1UFtm3IwfAtBaLx18mFpvS4Xz3hWuKx9V3bHDMrBB5Pv3isT
DpM0StR9KmXxYtuFwlAOZT3KAR1vdj6Qj5aT0b4viqHa4GcaL6yuMao1gllLt7PGHyzVSPta47g5
9WFqABMuI60+zYWx4F1pl+q+yUcslOFUsHeVQ20earMfjnBWI4QcRMNaBD7K5MVSFPN66GcD/EXm
XpYt/B3Cix0wu2V7Wtyoe04Hi3DWkRDRM0Iuo2OhFQRRNkSL3ljG1N4UCfh2T5qDe8l7kS/F6KoP
GcNupEMMQm90GylsQrCxDEJhb9G8fcXxk9+Ti55uxrBI5AVXr3wGXYqXzpLKLm2ltat0E/t7Vb8P
xKVexTh9LqhcJpI6y+Jp1vATEImRxIeyMnENaH27ydxq4HmzJyPQ1ERcq/UqZi5AU11rvbLUt2WX
K2e6WbUvugaFHeUacFIvhHoNhabFteM5opNfyFMwXzqnHq6n3BXGgfjl7Kkaoyi6nE2Z8zCmZvml
Gjv5Fho5+rFuqhDudyA2gJuqqZtycBvsW4CuHeRwK7dRHEol9kKL/ihJUcSw+vw2FjNVse0haJnw
YKwjZsjLQgmUPtWJ/RhhNnhcXI3I3K6UGymdBShajF2hpjBDKGXBcJ2XUX5Y2KsaLxv4d4gN/Yc1
yuGQj0TwjqK1zyzkzddZVQFU6IiiiQMLN/l9XsIgiJuiOyZxqO5UEYozsuz5RUir88eUHnPsA/ln
s5n5cDrfzgbe4RDzRbeiFty3adGl23o2ltfGLVNz00xIJBiKh28SpoiJrH8oI55Ys4lJFZ7j7EpT
oBlz4VHe6/x4Sbe4LnHD2l15CTdguaEwjYOJQMTcMxMnwuHf5+iX+J3RTnfT6sXNeuBxllGOW4Tx
CSKRbKg9aTVAWyopIh8rQ/maEY53NEnCejX6vtsMYQsAHUR+eIyq5v+ydx47kiNptn6Xu2eBmsbF
3dC1CA+tckNEZkQaNWnUxqe/n3dVd1fnne5BAzOLAWZXyMpI93Bh9otzvmNdRYxefgh4ShsCRhe9
yoRZv/ZCqh9E/ioN9CQg0irx6G5DfCwPSa3nc9s11VMdwivC/Vl7l1qkkH2nJu0OlVqYMNuurO84
9ZGTYGJf9hQ7dRMxpJHPsVVcz52JY7KzQ+CtZWihvYHDB22H7O+S9lGrbyLNuGqEES63bak8d90M
8/DR97W3IZ6mQ7lAYt+tQwKXGwVInfJVolkEAt0laK9vLTTfnTCXZ7n04RNB2bnATBcul1Qn5r6q
52pcM/Ny3wg4G5NHcmfCO+UitdpwwIjPntqyj+bZ1DGam9m9q6T2jklRQ11PSyzJTu0Y/Yrkc7b6
ktdsb6bhuPP6Ho2YZ7XBPWHLRhCJarIfWbbiFfPl8JIsffrIRFrcTVpStyWe6u4Lu/fGrRlik6Uk
MUxNZT/6JB+M0n8c/TC9zcYFFgbSPX17hUr8wJ3hPKiGg3rvO7VEX2J4aDxHz/jkxMu23M/+1gYm
8xXouSEkI/GecV7U1rYzDf/BHCb/W71kkIAQl6UrJuoMSZgIh8eEWIf3HBL/XWm2xvdalNmjqZM2
PdldX56qUQc/oc2lDXEKXR1H+K/LTwfTyMsyzQgpl2I8BSBSiNoOEpMRRzBm1RZgBMKitOIU2itV
+nutMuPZl7oYN0XXdDuz9/pTeQWjBzo1zZXyGmdj6QEBcmUXxRHJ85TAQhz16yKwVdXgrjR/N0BV
kpQphn/yWM6MjEmNMGTabqZKpqdZdubBKoe32UQNGMs6XS+YE3kitvoW1+a1mfKbI2hpcUhRsXJ3
SVCwUwAoX+MwjVI9kdLB4RU5RvJC1IKI3NYmE7uHfG934c86QPnpO+1hlrHcKGK+ti5buZ24Apni
VMdfMYSjW9euOf90aBAbMtMdGr27q8s+2U2UCBhT5hGWOSkNd3PlJQeVNfilCfbaW92Un5QMhh9T
3jf3wOHYX8QjpVExB/WTy9239cXU7acilN8oZwDmh8lDWnE0dwNPVC9BzA2ONjsY6/jUeGO6a0I8
27McuvMAwIYCBPjClE4/6B56RoYCVSM3cb4Zq6n/zBXmkE02FeJQZIn4linbkusK7M5x4gOCDVK3
p1bZPcVinh3DLh8/FqE+lwaKdFQgieE6pRtrkio++Lptj9qwF9KHJTO9JKGrTbVj3oQp/NIkINVY
VcZIQA1GlzSesWmXphYrNc9k4qi8P0PxxV5lNArmi9eat97isU83Mv/s1PETH/t7NMKncR5enGVy
7xik4jfzioV88byJEOnC8dMdiHFkdjRupO7cJEZf5atMDwVo9jl5NaUfrug+8auFlXr2sed+pE0+
3/mLDeXL9PvsRiMsguI8uQdiQOHnmHPncrwRlPTOluw2b7r2Nse5BPi538OfbqkAB4Lv0coNJKW3
8aqC7fNGPvT4vVm6mzIp1KkrsnKtLBNLeFo6EnhkbJKhDatOwKDa6kGLGwq95QS3v7varIbHMuGx
HRDPazaPw1YVBE/wETUIUV9K+4JaYHrqA2pzvGg9MS5M6NEkC+/YW/a4qVAORr12uu+iSuW2CIP5
5IXx9BhLr6DP6c0tykxuNx/BsmNY/quoVIg1oJFyXMOaWcwN1cgdM0RYMCVe2SaqB5RTylBoset8
qPoVho2eK9xSycqna6MbNpzmW49ZvFwnxjD+ZH3bB0+Q8Mg8J2+uojPpmWj33CafrW1MKDiLct7D
I6tQ7rWMJwbHLmLUvFkj78qsMV/iFHk64CwUIpljf7MTw7+1s8L67AhSsGAAFCVyVt6Hw0B3s/Xx
57OBW+b0JVfz5EWGIB7sESJgBTlDKrFBQtw31+Tf5W1MGu8QMAE6zENn0y/MTgWHrrD9/XVA8iE9
w9qM5N6yhBxnH5QnZOkS/GxvPFpAoaJ+wrPB/dI8JkXQf9gFIkWjs8q97aXf2qxOTg45PtWmGABT
mRNzFvq6wlpjHfWeVKB7PIOLY9/IWVuMVqs2azc2IO9g1+MehZUxG1lPOG1ZiZdMpba5a7g1ocbH
xbVklOcJsVo6tRkvRB/iX447c8GkPobmz8ach4tY3PjVnMsAZ6R2gGzkQPKJmElRg8uwwlyVofZn
pDUXRyPInPJpivvlEevZ6J/LmTghTOdzDpo30WSuT8a00kwldr0TvIclEZVQulykyAznAk6kFO0x
sqDlhqaz/RZW3FjbacKql0ucEbRmxlMjYnE2/KVbUUIibxgIDuErl7YXjnzfPamhzG7xY7g/imwQ
r0xmzMjgPqKSbjxCb4rmQpqF+uG2EgVyihnxPKvB2lphUnxmRmPEeyUyMD1m0uYtkewQpZEOlK1H
xcfAIHIam4RIv5k8a92mzXTDxqG7toWDZB5RqA7oyAxRCwlhNUyM/SUuXaerA/NUJFc/ZurOfN27
LMEmEptl7+w7OjFAIYEWxW4MIPy2uYf00W2b4c2J1bVUZkvCndMVxRO0+4rkViaWt0RgFPxp2XK4
JyUfzIh7OvePyivdD5gWMCeGRM6rnBwmKhyuKM2+sImwds7HKWyuRjyrefVLS7xBu8RYJNvEuKtF
4WiUia7oyH3rNLKFnhI2LYb2QCVekEbUYEqO9dDR3lXKRMCT9Q12nUTIb67SZE74ZEUAURYuTRc5
9ts+GIK1lwrvh8/8w2BTjabBdwvyZVJqnresM7p2Z/kD7lPlO3clS5Z9UeIk5RPsFA+VUaj9FDsK
P31L77Fi3dqT/936FYkcyPXx9ZZ8SUond5vNWNat2sV2aYySnWxcNohj2njYDKWV7fIxgKwWk5n1
Pvo0WPwmonsZdIAj2h/mkN868BdJflLPRioINQM0Inbij6FIrCcRiGTcuL3wqROgjJz8bhzKSHpj
9mFjNmZukRI/sNXSMo1VObp9ewwDlshZNdB08fH00T7IOfAseLKzfGNlBBe7sv0jA5Eg3VbCqXZM
a4vPSpX2TUX2AVFb+V/cr13Q+rfpIPsXFXrZq5pMMnBI0/D5Ndk0YcYygg7Rkgv0ksCQpTr2OkZW
3reCOJ9hlOETMlm6efS4pAH7VvY91hMeaBjcyj5zTqTQjkyr4QOae6V1ELNqq50U4eicpnIcgDFl
c/Cjxdr6XKDXpxmDrYEQ2GakF6V9oFeQhZg90gsQPJ7D4cgQtVuO/JiDNDixzmJWip9ZXNBONZAj
OT85sDOpUFVx/i/rvMJCu/aqfglWRWUxsPGTgfC9MR2bC2vvGWGuzud3H2rRegnU8M43qbXPrWkO
O5JGuuGMPWEk0s+A1sXCqpOfMdypZDvbA8vhOK4MoBMBoWSMTeeifM6cEbFEWC92BN1G+auJa5JM
QT+cdq6fNxvD7mBYj42pz7oy0IvRRRoSMuas5GYp6iLb2AneJht7TINpABI9LRP6Z4WScdiMcCdu
YBfFE+6xbNkoM8MUPuEy5UA1Q6RQnKr4rAQAHaOezOGsJw8lD4meaiEosWGOlrYmw6Qu8DkHliQU
l27pqe4LbjZaMJ9lXpxlGJGEU7T+rhYSIAAELoZFuuYJS2Pu4ptuAEsCjcX6OeaGeGhZ4TJ5zMDN
uEaNr81MMtb0XlI0BYzupq02HcemjPxeGfeSVkO82OmiN9IfUxqYrFdcLtYIbK0DMP/TxZT8raAg
8zZZaqcPTHEJradwVeR6BOlDXgi9Z4OajNskn4OXJh2a06JH+ZKVCZV0JZrsrlDFW0MgMUGeQYAv
g0tkEw+s76XqRwzhc1x9sNAxPslF009ZEQ7GOqkJe48Cjl19KrgK22gWRXmhh5zFHr8/s+x8DH9Q
zLXfzUyUz4s5IyvHX9JtaNaSo0FChliBhOI36uPBiRzfJ1grKdwvy1AIdGLtbGcGCidGOgADHW+4
63AZDmsDHrFFstG07FHjyodeTc1DvGAWT7IcJW1iS/sR5Bhndr+I/imHuT2fCJ1utgvzFbldpgC3
DWknTKKspmOFGruwjPaCjy+5kPXoMLdMkym7MGzINVxia1zOzVV9vO9mz2E9k/QCOFhuW4deJ4+J
cv0Vk0T9YcYp2c7o0hsTpaVQSzGRQu8qOgFlv1GTzdAi8yzxH3NaE2BpuWiu6UXyCaG+eKIWlcvK
DJPAWJmsogzKNqVeEWHVP4H9U4s6LXOAlejM8ssGiZRD+csK5K0zw34AA2q12DOCu5KDnoqy9cvf
lVT/1ZvXf4pA+Z9qpbZMRCAcXv9yRfslE1gp+uMftrN/+8HfF7QE2gcMTcmnQJp+NT/zT/4uchfh
bwJlNOtRcuv/+D9/39AitL5KsQjRdq7ElL9vaL3frptehA+oe39f3v4bInfUuP+4oAXXwoL4inK8
anzC4Cqn/7OgZIj5aHsl+IOWBYHc2yoHEg69E3GrxRT5c86ZAPQ+Y9eD5/jDo2tpITf+ZGXLFhKc
86xYsx2q3idcsPE5taMyNWCQMfub1a40Euc57AKiX6fJvC0Nw+vvHA+7zioAGTtEiHAyoBQ1nS/T
dKGas2nU80EDJl55nkzkhomDfOo8QtVhxkL9GAbLeAotyhgxBMMbCFcmy5kIN/RuOR2seDCh3K5H
x8QcwqQgBKGEV6obW7xhqsH+SzGJhtOV8mxm5JRFrWstZy/pGoIoXe7bbiggyy1FiTmxLW+Vndr7
2BOEEHqLs9fwwFkRwz6vDM1arSy0fz8l7MZEDah6svLppiH6laa2HCMHN+jGASUcwV2p0Fz7K3t0
7eZlrMU0PMRQEwDKdPWDFRqNuA7xqOJrm1CEs23HqTxO1TTeq7HwufaZMcuzgnoyYTgYRyIEqE5x
I1VqRnhjxUybpEG2c8Qkr4c6Y9EJECEaGtb9YnmhvsVd5lf3lmsaXHEmq9p9nhltfEgaYS2Hwez9
7BiPU3g1A8fWuBkG31u2DrHeb0RGKu9elG1vb60FNhA7XnBNK3uwc+aUCyXaNqZQ2wW9mXyadSMD
7E1luKvawXrxwMS3ULkYPGAz/hmG82lAqH9nV8I+161u8sgxjb0xi/GNC3iOEjO+gzTnR76aqHX6
uQxvnHZalxoAClGL5tY3iUSrQfZCz/fMade5VffplGOwr20jSXfpyFR2XdRYr3O/EaBnM5ZPOqh9
vWbYLx6JiNMsO6+suhlnVtr1xWNPJiR7YDbEjJaTHcVnfQR1U64hlcuNmYrj0Opww5pueYqr1NqO
qvaOvn/tk3C0X4dstxJ/XF533aN22cgklt/dGtKKt1M+yTLCXuxGbtESD1jXCR4AVfLnu9qYirMH
wQdrptOudVmU55ZNN1uQzE2f+LQOpxqoGUM9u9YT46w0O2iJFYq05GFdDhZOwkYOBzlO+W0o4vG9
572NI6QRNK4Y7rSMNOMMIOSsYBkMYyAsy+BlTtPyXul6V09kjqrQXF7Y4KWfHs3/hvIFX+Qgu12Q
DBmve6YxUUv1HlBSHQpjGZDG6696GJoSm7ldbsQc9xjYMwy2bWDk1BmT/zjViJNWFp61b43uQYKZ
3FcHigYDW/vMSNBm4Ogb9sAUFSaMqWgtljCglpsZhZQsmrYFmlHaNVnsi9A40tP5nDDlfINUbHiL
zW6i5ZbFnQwddeyarDoqnYS30lHxhzuNcf+7KPJ/r8Un3Xz93//z8Vmm1fUT36Y/+j/fbjZOLQR3
/1y2dDd8IoD8alv9H/zY3yRLduh6UJkxqQSQwrhy/rB9eb8hQL5KPf9giPF//rgRLR9OiM2NyHoe
6C98xb/diJb521XgxKTP4cqmHLP+Hc3SVbT2Z9Gpz32Lnsrk9r2ORMQvotO/E2oM4b3HMDU6gcdL
yoFWCVJURKT0zMUXnJvK+fGnV+ru9wf5506pwP31oX8RrduZFeRAjCGduvnVY8mcI8mWfZPH3yfF
aOFfP9qv2QXuVXxsAWzj8sdNYtu/3PxZPMJLpJ9Az5u7R6n4koRZ0KxnYcPh6Jo3eH/Zjnca3G8x
iE0YjECmGtNbj/7wBveXYedybSzyOxb9N142r5wBFADJa68KwysvVQ9Zpc5OllN1m3/97Kmdfnmj
AlRqlhBEvFlkt4S/JrzZbUmrhhho4+U9AlDHySAe9gh+WJtq4qgWj9tUi/WSO/MdXLj0EUD1rT1f
+9xrnKs5qLd8YVHH/ugdau85cdydXeffZUBny17jgGGPoMKJv2uX0I8qsSyRnOAh1wmtIyT0g1S2
+WRUptsy7Gj3CIzW9FoMN+91ba6yJN2MXvLgetle6uk7/X6UT8mGYQZJ9WO/kml+HyT5Q1NoHBOf
unVR7MzRtzmdl12guah6chshwYS0+BYWeiqm4UANQa5r5xOdKPhl5sp5cVvL2dmFLZ/83LxnkkNq
asgjOxQOZ5vZ5UdWktZah9mMF7En6h39T+SyXggiytP2mhec3uo2wNYIOGpvBrncUnLNaw9s2tGl
oDsLnPqRG2bdHeepu1/KjtFHV4tvgH0CapO0vhUei5Yh5BqKKt9nJRKHG29K7O+NB0O2GXrzOFqn
yU6mCynK9NamwAudOXm99Xx7OVYDD2H6XMgjmQBGFTSfaZp9prL2D1MIWIERCpgY37o3uqaNap0A
oijeU5EclRs+yxHPZMBb43W6ZX3DDzRZnO6nEq5/UXbqxgLxSVjUU1Dwfv/rD6TNAfQPB4cgVeH6
FcayGsCe/9V7GMraUlyG1mYoigqhGKnn5GyqHrUVTWizQ+XuPKWpPZ+XZDC+JbFnsTu/Do3iVNVn
WoTnmWDTZYzh/Q2D+JoroR8d/M+7zou7lR925gPSmfy1U8NwE8yx+fMvv8L/Xmr/6aUWmpwu/+pS
q7KP7/94of3lR/7wMfu/YRbm4qLLExZxA/iz/rjQHJiY3EiQMl3Od5Avf7vQHPs3OkIAupgcuNKu
H5e/anBDbkHSFflBFO6Yuux/6z4Tv1oGuE99fDZkQRBmxL37yzl/VXj4LF2r3TCM3b4lUeqjSv0m
ksKJ75BLdqdJmXpdMMZgxYy33SMU5tDOIjtBqsTK73niRVTa+wxbomOVG8C8siB04EqeTwSmJHjO
YLS2nhcf3RK1iJyXD39w2Qela2ewdeTP5ckwChdYI/zMgIoVP256cXQHinpJX+za/WQmA8TbAynV
NWpnlwV2SsdEV6ca7l4m2CkAjcB6LryUvDSFAeroLG510+R6uQX3U/4Ycg7dq5/ku07tZM/jTbcA
56CTuwYK4obl5ItNjvWqNcZm5YIyXBMRmn/zygFc4sKjxmz+mLSm192N6YwHV9XylczE6WBUtbPG
jzCugZZAuM5rtB1AVTJLl4epFbBYSMfa1UjnqES72poRg83DXcKwbm/kfnWqJf2eLjsPrGJlJ1HS
Z/azRnwh23l+TDNHXrrEnSIbl/LOKIM7263G5z405Zcq0vYt9Sf3vjQZa9ak+dylQjmrua2bTenH
6SOeHPsQ2volC0Z1l3ipxdGhPFIf4wHOVJyex0RUL1M8mzt2/LSOnUzXfDRWLfjJD2CB6SVJRIKV
NMXIHdXMzB457csLKJGv2GX1vaQ51dDgqzef3frKcHXzw1/inzrTYlkH4fya2M0+TzwMXYRqpY1l
3Y8iZ2UjMthEwRS+uf7cnC3duCenbNkHQg/6dGHkMwpv0QSysYHogBz1Ui3N9YrGAvuj8QbiBsFc
HLo50agHSegqTTe+TCiH9pzkrPsIaLrGKdk3Sgdf5Axb9puT8ci4+sPHjgHisfCIFVrwK3iRnQ3N
ZpFa0rsbTbVEvAnlHdPc/BImCzZ/Y9HP9lJYbH/YV0i3Vq+gG/Wl0KCspTmaZ22rcS1VCXY+GKf1
YPEGIVezw5tyYh7PTLHp9mYSs4yoRihEhv8Tk6C49APqBmWrcMu8d14ltT0fem6ZC4yEZxTSah2y
l9pi8BVb7rDgCuwYt01RFh9+YmCJ61IUI55PXxdDYt1kLcwNtWhmlpVhrKBz1StD0/H6Q21u3AXs
u0y1ArBea0Y7Q7Ar0LGyng5uq7ndlU7F9kUszU0sYnftZQLTH4kvyFZ2ixyjBn9Vm8UrDDDsOuz6
uwdsznKL9ASQiSi4wczvm9lPt811tZR3dkTD6m59dkY7hhcVnjBTvOfpDERDmqTVW6maHvyqeXf9
EvK13HhLdwbK+iMbKx8aSS72jdG629YqYw6f679YtsKBtD+Bj10eps59EFaqSSK4QstUrB9lCL7W
mdhyxdjBVnOKIsarL226zBu/t6uVNfjGQ+03w2tST6wfQN/u2tw3bwnE6Fe1rqyTmcn+WMOb3Qx9
E3z1uP+2fu07N+3g8GWijN7EyGEfycPlVZ1dxLk6nKHKjwx6PdyYfI6rjbD0lQaxNPOrLGNxcAI4
UjDsui2FeH2cAwL5GJJ3u7HO9CGvPSbYFnXcoVvkQo5fvNwJCYtIBs6VdCVZ18aaoVPLu61zVNYe
0lRC+JJ+l4eq2BhxUNN0w4CzB6JDcXw73xvshECD81qf+9a0ViX6CfQ7dfzKVmVZMX9GqBNO49FU
c3Vkuwklvgyr7yxD+hOVmrkSYW4+8CXH3pcm6FcoBwnInu3JefbTOkBAr4tmk1fzQOECcvXSIXsW
myQVzjYbM5ACrMo+5xAW0qTUBvbcDoQSYyjSaAq3DohWrLy3sTLuh24C+sVvHoPxRpiMrVp7zKXI
uHnDeLFsygImY6b7flvXuJnjtghxVZCcwEAt6aIuHPj+99pbdSma+b7yzLsuKDa5ORRRIkNM2TFM
Olq1IfOG1eAkSIEd95Qt5AC4oXislhHJRc3dDWTe7R8RLqRMUqbPXDj5fiJJcR3H401SpfeZ47tr
5inzdhFju0o70932mIR3zhA3O8fjBAd6vuDSxZdFrMz4xfL0PhmD58xv+jAa+QdQwTT6rck4NoiT
LTNvT/wKOjkEACSDmOuuiFtUBcDioTvrbykV/AN0xfHEv74qxLiPR8lQh1O/SJ8cJ7jYJexEg7U9
AOly0/WGGXkFmEoCYpNza5jZkVhN9xBkvlrF/OavXhk6750DxSpVIj9wS+yhtjdAHY12p9UQeytr
HCeJDLxq3uYlkCfl6/42KHVzqo2g/ypDlx0F8nCuQU2TkZdketGwr4OlCx86Hx0kK7eNz1BmsMdL
nJWnYcqWi1VK2pjE5potqlWMbJMVo0oJsYwzDlVwv0dIXqxYnQ6UpF6VlMKRnfQscDMHkwl9KB60
qFeZ02BWRKxoLf0BCR4qQdHAjReSWWD2heYj9LY+8cwL9hC7fQRhqc6N+EKNO/1MAx1f1IwqaYo9
++Sxs61244ShcA0ovP9YuIa+ssUU64ZtFzoTLOKscAnXWQes5ohnua6XSOwx1uxHyU6eilSRHWb2
a1CF7Q3J24ha+6uSAfGl+cLRk8F4ieddp6ruiv6cdqZdWetFoK0eUIWstMVuyACkfSiFXsBSSR0n
ayfpnpoEz0mnxK0wvIGQZWG86JRVelNTokiz+SqaeX5qyqBYGXTC28EtuL0dpwzvhVu/kNlzV1fA
o6squfRpu/UHVk9MH9+svn1uad8ip8qde+Yq9RYegt5y7YU3VVzStWqzCN4yD1tCTVkhvfxHlrg7
xI77pUM6nwb7qSdbYJpcOp3FLWXJN6tGyTxyYHTZps48PD+m2tds8bRhPuRm8oML7WVqx8/Oc3dX
4c8FIZNiSO2GKx8dUeQxVeXepQqL4e9VPoH1/qJvms41V7BV3bWjXXUBPrAtvFgm62kOunWYuMNF
mqD7gkZNFtoe0rgypA1PHL/irJeO1Ww/Gu6GEh6fiUXV6SYXs87TEwtbgzC6ydkrAoXvqeL0Y50V
OCzHybuzBC7nMvt0JQVsObvDaeCNXqliuPFRwB4N0kWizvOKCNh3t76CrY8xtNc1ANp57xijuUKO
/ZFpv0FxWRTnSWiu6Fj5uLBqxhSdP6/rhSi+DmDWHeW3OopgtPcNGu8jtNpTaczqfUAMcHW1wegb
08SJCE2ZwIz07JZhbN+GsWVhyqo/RAFDzwtbeFzcPtEc+AdlpIhMVP+m/PZDjcAtU5tNuC7Vzmc4
fIxNy3j10lK8VeVkbFJsbc+V265L/9rBezolsZ2X7ou1ermhomTNobVczVllehF6ne6IKrCAa6T2
tBYY8qfe50Ut5RkrTHMXCC4pWRfgOqrhFQCNOiNPad/rtLbgy7GpAeCoDA6eq3FgypFdxqrlswOM
Fy1TvJpkaCAXywljBUy5a8Yhfq50osCqMSdXiQLU1TbOBXtTQwZpAcXNLqrXVrYotcoJeQF2qQfb
KNkcpX3xWZdWsFMQIH+GTRPv5qlxV0JRQTdB5p5ti5UPw/Gq/GCzjtVqBCcaWZOwGbzr9FFKqjwU
Cyp9wVXIlVGQ+WoPsbxYBJrvpFOaFwuBEVh06SCo6LpDvJQWs5RKfqtcSJPY9ew1Aq3y01VDeEH3
5r1oyzIg/00sOgAGvYedkg+5yorHGgf3cRICEXhmpSMvve0zTiiIVrFcULvd9XKtkvsuc7dL6yUU
bB0Sm4TRjNHN0yXAOrjyJ0V4Y4dGrATxuVni+It9ElD1pUn8bVVoSrfZibfMwcS7NbfOicxh52Fa
COibe0udZJeR41L43l73nveNllVtFsJVv5o+ttchDeAh0aK+9WWaXkYrSfc4UCjI3UodayckEMUg
XRLrnLBWdnqXG1O1QWlnbkQaElZsWB47sZD8nqW9Lc0EsN/sAQsJ+vIolpzxYWOHh54x5tmb2vwn
v6iCydYEJ7TfDN2KHhX0VOifXrz86EsWUQKHKRlFQq6tdraQwVhXvpHk/Cyq+BQn8jLmOZWjFd7Y
oObXvvDGFYO59DW9IvGnpXivCUSDfZkFN82AJcBbsm1F+OqqtrvpdG3ykW1WX4gQdriDwlPdh3oT
t0m4bhBWvyQESzoIJRDqJnzn1sXoY8AD17gehtY6u5RgK2Xb1bOkgI/p5cYXaXo+OBDzMdMy3rrx
lgSUnZWr/EiU+X02+etAThwumpLcNLcsk/QFzRFEWNY6ESz428ztvvPxnNFHltkFwR7MKt0ijumR
aE9A1HbtwhAWKUwFspPNqEW2K5KlzL9FcfW+JOZFcn5uClbP19ogJVoJfPPYGPaGPi/eC1RBJPym
7f0I9BQVSwcCtAuXayRcueemyI7WiKRJjaW4HciS3HXohqC9yJuR3TcLvJYcinQeLIjSTM9w82V4
dK067pCxh/arbVM8uWLlquLK7K8L2NWNka8ofPdJfc6FwMbDbuvMLA8rpzDm8bHzsuq9jG2+PAD7
4h9tXC1GFCcBG2EzUeRNm2N2X7aW8TC7HkzaQ+uOKJL7xOwpM70Rw09eXbI+syBkV+2lMQra3KTl
iWe5IuaaYBuJrC98G5wlfrGxNWzUSN8S9SmCtqisZn3Aq2TtsFH0O3Q8/kNbzflR9/5w8HTtPTiz
6+6G0W5/+G0WmmuEVul7XYf9j7ks8cE0DV/GkcOTl4aUOOgOh54nuQ/tSUejz4I1rbueiXXrvtFL
Ty/jkJaPSGDcSx6QHp5YVQ3b22xvHd7Te7u0eTKoYF6kPX01RWZv6ITSY2KO1q22+C/UPaR2O87I
3MBDEdZVhnXLbWttShelG9VHGWltnDE54WfDobsNKCyi0FJGVBTX8A8bJyVlOuLQi9mEwWNQzAaJ
SPZEwV2XN2Zpbux2wV0qPU6sUaZ7X485nh6E2GFfPxFd8NGi6lx0akTZlH7muZsdAtXelGPrrEw9
qyZy5teO5kfwHQ4c4uBxT32rkacfUZkl9/8tc8//QXQBh+EhQo9/PtF8TImPKv880fzjR/5Y0Ynf
QltcB4ZQn+HJBUwn/xCtCKgCpm+bzC6BcPHnf5WsCGCO/EHogFgnGTdgovrXgWYAVIAUc0iDLjPS
68Lv35Cs/ILOQQvjOjwrG9UMo1Ycgr8AQGInIZamslGBjolxXNoJR3ud3rix3RyDeUJHDeZk7RL4
s5kaOT+nUy6PlUXvrExc1VbYOVFpj4KatqPDo+N/QIs/H2qj6W/KK7D8T6/sf7DWu85X/75R/P+f
73WR9Sdki2dov0+FtkgELibSFBn5NTYTOPAZVI0mXCO27jfwxuLftVv/FLMEguM/eehfNopMPMuG
Cgl+reyItAEydck52LZ4vesNOZiEoYUF9YfVXvWl3u18lZj6KizXYRCyGaOp2eul8rDO/z/2zmS5
cezstq9y485Rgb4Z3AlBkGBPSVSTmiBSmRJ6HPTd0/8LWS5XZVb+Wddze+CwHSVTpIhzvmbvtQfE
Fk7F8BZ2A6Nm1lAln56pjZdMC8JTAO3LjS0hYM4Vsk982n3ZJx4m9ceUOB8um0piZVPSx76ksTQR
gVah/xBRzhnW5h0EFTk8pg2RBGk2xl5Wqvk+d2RxMjonPtXFPHyKuoHqWirFMVYy1ZtyrsC6bD25
+DL1kbxj7bIlN1uCuRUxnhsU+VEfEBNZmGm2mZYR0TCG8SbB0ZPUTgPZRagIiGJD3kYFyXksbKCb
k7BDNqmBIEJNHg0zuHTTcIcrqN41w3rIpBe9KZxDi11kPyXOczOr0ha9+6HGALeeIlM9JnN4ynO8
9mhgSHOaElj3XbzVBjSfvW19bnPuZ1qMAqJVsqdOk1ZqP11GOTI2DT4brwOiR86h1u7LfsRY3lFr
BVl8FsGMRrKW/ToUOPHHfTBPTCTrco1wdqWilxVJtTeVwFiFmlxt2OuOANnzZhPPar9liELG81BW
K+4thNyTLDzeGIKnGOCGUZvy6xDWiLvCoWULoMA9Zg16N3SOtuepwefWHQIC/1a6rTKVjMbbSKb2
3ZgTjzHmusyEvSPqaigZfUrYqsfBg2fsMOrnbxKhdrk4He7EHuDxkb6NxW2iwHswg51dmPK2xf+5
02FvuLYqIq9iZufC0DAICSwXZI4232iI9lAYPEmQz91H+W7Wam2dYQXFtsK3eTSwZABMFeAYHJrh
tJsOAwhzxoItntQ+f4NccGvT1q3R120r7ngnsm+y7KwbsyN9KOOzNAZcySjZcPe1WCIqzXILUsXd
TLXxN3YlBRWxDL1j+AZ/TRJUiYkynoqiYZauTTa2QoRkWtYla2T4OMayhB1tRcNn2ckWP/S9Usjy
QYISsTKHcViP2dCtRNlah0mU6QNOW9JXLYv+RH9YpoTr1B6RueOchPidnE17hD4Y0UpgMW/dFjPy
GlvXVhrqLaIdydPN8B77GWYBqlN69x2+4vvYpg+upvHWjvHBKGO3baNzXyklLToONKv3xuZpzqqL
VSEXsuTuPkIU9qhWabyBIOMVcvc5JS7KJRHrhDsbhVJxayTMMKOzqaL8i6wUXsuKgJwLpafCbSKX
gerZmUyALzM4gaTC3OfswcFeRivcJ0GhMpeuyGYKpsnahIFZiJXQRPOmoAHhcy/khxFrRMNe+55k
CLCKMVzLwunHLz077ZVcIHddIX91PkcZfAyZt7Ub8UTyp8Lz7LJEJS+sKrEcTUShIBOHoldphV+X
ECfUVIUAAxRzXecpwrZAZXSBk+iUyFXnZ1IY7TXORYpe+TFnbbsoeofDhEXoVjtEVs0tkzAtlOTt
ECmMNsHek5JSWPIR57e8c6quJsoBfMwAttyPBQiGYCBzmbAqeBkzLW+b1TIh9cGlnKZ9rWqTZ5jp
bSqSdo/9mvsh1Z9IY4q8urQgduB2WNUqQgpJBSusVqjMZJtZUYvFAxMzAoUkRaDgNE28C5cSOJFq
eYsfM/YsmbmMIxrjJaeCsoKZ8y7RXdKvEx9UerJWcWP49QCXUVLEhxUWPqb8dmuYkJ0kGia/ceJP
GpN5T4+DOyvWGKtHAeotOk2U+rg1BilRdjnCqzM92v2vL1CKih8vULaoqqFQ6SHIsX4gEyqSHilS
2ig+9vI7EeNgzROiGrBFH379Qj/km3+7qr97pR9Ki7Qdi0jGl+n3YWeQyeC8KwgbV7RFAs+g+Wai
V1yNBhkzznLyltYg1r/+FbTvZQS//wqon3TNWOTCbIe/rxZsUQxJ0czMDcjPK11ZVyVkNQ02gMxi
eF6Dfo0rJX3AOIPQDp/FOVhOkghDGXuMoDo4Q4s0ohFs6ZL6Dr2JQ1ZRvdD6lKI4G9Yc+ClcAmDr
WejHQUu2wjg2HphqDkFQOXUl2z6tzAcTODhiSDzcvM7v+D0kD0PQ51+/35/9bf/6dpcK5i/FUaJn
GZobQ/ElA+56U4+aO9FarRl3zu6vX4ot/N++RijnScLm33TWwN+/lDIwxmpJlvPjzvpoLbyak6G/
ktFRrGujfPn1i/2NHs5fEMjWn6+26K7/8sakmN59FInqG3F/nTtDe9Zg4uySIfyqxHSYlZm2V0Lc
o73dqrPfSjiX1LQ0YD+E7clJOj/hL7lueAwzk4TXpOmI8Ag43MIR/VAc8ydMjUEm+IU8DzJviquc
oOks0yVTalT4f2OStmo06TguRUm1lCc6dcqv3+f38vFvX1cqfsVcpKk2b3f5Ov/lbeIMN2WJe8Q3
K7zAqUnKea5BbskdU7rGvQSjoKvQZf/6VX/2oH73sj/U1GorONwEk1tJN3g0auOrlSrczHWQYq+Q
pX0xjeeAreQ1W6oca2jTf3hQf/orcCihmycO1WZf9P07z2QCc8s8VnwtBgLScCXGRnPCMxK4wDNo
lgmIYC1HvamZr5z61ebXn8FPvs4Adf58/R+enG4AJ6YUoe63WfeqNfF4botA2+eVyRdbCv9B3rR0
Cj80MbxTGRAY/gbo4j+822iIpbolUNk3tCY5KmiZ8UrCAvj1e/rJafDdq/zwnhoN0UVmCN3PWxr/
gTfIfEL3WibS//Dn+9krLW9FVm2DbvVvh0HpdMU8m7I/Y0xYDbbynBGbzT3zD+/op1+Tv77QD+cA
/UfXog3UuU1YLcdDe0lUS9868MLwZXbaQ0q0Be6xpTzGh0orULblP2Cbf9Iy67JsIfG0ZVST9O7f
f1eDaBwqKw40v7OS0p/ZwtxKVVd2cTxqfgkeT5ROug57ds5xP1G+hVHlWhUgA6hAnyUrTr0ScWO1
VBfFIQ3zZ7PWWJDF6hMSBPEPDbP29y+bjjLDcHA5LL+x8cPXQFLwguZzza+G6h3hkVgpkUyYzEwG
kCnNp9ExRw/1gd81EY7agbwWmlCyr8eU8t0oMuypHKd1X+woUwMvYeGQl/Q0DflhKCyrj7Icwp1c
5ZRwbIQVNDOYfKGU9ZPNzEois6+cBbVVGZAPlr1DfiWIdKhy4gJ6/dg0ze8lzn+ld/8gvbOQ0TFM
+sspsf7cfv4/7wXl5XT+nKNF3wpKit//h93X//d///0T/9Le6b+pJD7zleYkNEkX4bvyb+2daRD4
CCDwj6nTH7MqxcB5hRML+9QSPAmu8N+zKmVJscZXhQQKwjmH0X80q/r+jEbxxy/GsIzbwTBZUvxI
rFctFONGNsDwAFGJlDjCeghJz1WUCNt1noz7v3wy178ryL8/1f54PV7QQF7P5/HDg5OFWpOaGcyQ
WW+SFST4D4zkwKAGVMW/fiVq0e9uhG+vxfXFXA/lo2EZ8g83As4gVdOiaPCQMjKByw2SkDg3lB2D
/fKUBmF/6mYt2QLYKdBK1c5XcJj9tWE+vkNGgKG7klJlL0/06zS2jc64GcD3s54hFVvFtmmcTTNU
9p2sNm/TMBuB2ygWsVzJaEdIFGa4F+gFxLu0uElNO1VuuV1je9IsCuRDq9fyNc7UJkQeMgeg/C39
vTUjwcRhSHoslVn30Y3EXoRmHGCJZlQjgmy+YtwkTKoFOrit+g6aYteyhDFn6VDJjtz7ld4hNkoj
h1+ls4LgmSMMfJfK1JHTM8ws9I/2ZLF9DCVrWzKhECyfEgzRnTPQtjZAbMRKs/r6I6dF21sogKyQ
74PSd2xbrOJYTOaNHBHOshT49n4OoY7EqlFcxzGjmFNbTw9kMrPi8kXKo8TlCL1L9LnYFoZ1nEYI
U7GDwBBEUeVqjlQfJ8pMV2ZHS/Y5gjGm+FkE+dOGDJAaqadIrCzQLrzEyOSXVTcoKLQZK+p/up3e
orDAz5M1jhtFaQk+gnhGgxAllMoTFil1yUBeNap0P6GKo4tr0JSP0ZZhsY7s2tmpFROBtNR4eShy
K1mht4D/wFAs4T+g6SNqQ/hN1jpun1kktEUNixKdF1fNHLW+zW6+UwiXEjWPThF+DtX0hEY1Xatm
+DYEfNWVBkGFXuDAGuQ7kdbEYvGJphrNDyKlB3h1oSuP6lejC45Kau0q9vxupuRbuWRQAuyvdNVG
uwu0dHRZE39NzHyD9BqaYtduNTn5kFWi29OgfjH4L31gn/EbfJCLfszbcB+WqeKm/XJXRNVDiPqN
bmZlT/0hCtJtSwkeZXXsoUXle4e9Yl5VAWqXY6LpFPAJ4fCXqoXzJYmXok+I/NHo6LQhO8jO+G52
ZbJOx9rcpDl/PHS5I7hQp1j17eB4+JhTdlmFxt8cmFmHyFCd2HJqwfgWBc3zGKqwqdSh4cNIgU0F
0g1p2XFKrG9xeiwgpSZwVQvifBrgJDfDQxikYmvW6gtKF95AAN8y4OWyIX4LkG4Q34OiEReNi4xh
pZeiR2XGS5uDKu2IoYAj1xgDG7ToLsonB7EPmywpAzbENAT9QqXON9LEUI811m2QeaeFlR/7gr+D
Lpdv6OjF7zXYfy/Xf7hc8TBT9DlcSv/7IugUz6L+/N0m6M8f+/2KdbTfdJSNqLxZ7vy5CcLYjF6B
SGXLYijDwoKi8o9dkM5P0C3wLw2rsrV0C3/sgpTfgNfjXKayU/hZCu//ZBe0FK5/tiVI52nk0VuZ
rIypAHi/3xe2I7rcIlXy3i96nbDFtCi3g1Hl2zpRzlrdOLsYIyTl37gywu5dDczgFBq59g+XIVaT
n/weKjJOwyIVBaHlD/2o5oSgjkTAzDhtUMQAfdAxLYrZNbtjFB30yq/MK4zJcxczqJsMwnHUMDgl
EXTeqtZuXWXBUkBd9TQjUJKLg5aMpRvbLQCbFiqkaR1KBUzE0CNdNNo7cFRbJWAqBDVWXsvd40BX
NhmDB7vBS/LmChHoMqTBXtWI64P2jIAKIXt4AduUrxIjvXWxBicfaIhupWItW90SadWPcLTYJ3gj
L7TubBb5KxG/NE15Q2ZARtjkJ6F2pfWEObCwnPlgG01rXyJzIDlPzPKG3JWVGE0e6FzZGEguJxWI
vdiYyNV7+1lK53tsZQ+V2eybcPRVzdoXEaFgJBzKVvUwjsYnQG5oX0fk2DqGKD1EsT/qwvY1VBqO
yMmGnPfmaLzDCvJt+ZXZ8KOFDTrEhEZe8b0ZKFsGBJ4yEgOoqtVKtfg1TEd1py71kK++iaz/Glea
6VOgKGsGex+qMwe7xlAjtNFa7ldpVwEonA+tMpygbzcoMKJsNSiqq03mA3rLXS3fI1wm2UUjpUUf
HrBgXzFFbLRhlfBpAerKismLzXVrDntki485Wh5Amzoi7oeqGD9QSuzGRv40AxGaStlZRUP5Qi+z
IQjkoFaQiXNc3XkgkIs5j99IWsST4z9aUbhiIGt7ZHr9OZSCl6AES2Zq97XFOT1a3aOiEa+mIHiC
0CH3CNdGAr478K7jPKyU1tA8JsluGmRrZ2xfEw1QmN5ivRpJCuCrWUXmY4zVAHhS8VVUNfrjKIe2
BNpFlSUvT9ovcstEMZAZtzC8bk1ySJTBheVIMqty0/Nnq67nS5IO6XM/54cm1e+Cse+39gQDDvzF
sCOJa2316cEiccasCjDJ6YvZBe+pJAC8XUrjsYE4TGyYtMCv5Dt1uW2kYd4Rrf6sK8Xgd6hr+iRC
Nm4d+7Fah6YBOVe76NNdbZcnS3ZcQPPsLvVJHHWnQaSGKKczo2s7BijTEiJzdbJmWjRHUAmN1Lej
ax8qR1QM7Id2cLFhEGCU4Ti4xjGlURiMz+VMSByj4GCOIfOR2J5KSn2qHKXmyYHZFJuaN7EQa+z4
zcjsTZVemUhiRVTu2AmieIGfjMdatnO/XwCeLaJNBhHPDAxdXQLOWYwW+ho132kCp3ivyMTAQygE
7baPVHT76vwY96qxRs3/KaYlImLXIC3TYG6qbSCVXyy12arq6BazbR1YfXqE232hbb0qQbI8TurF
gUG5ouK4AOfajanzCh54F3fGV5FSvle4F2U9XMFNzDdpVhB3JA9LsFWyEdZoI6xK7kO4Y+4cYHan
2vYK5Vrj2pMRUUJB4nOSpZ1dxidMxgMkNW1wy7rf6BMmCck0rkYd3FERM6Yqylu8SHBRrbmxETHt
aco3QfqKPplPMOp4VpqSUFf8341BVToKYGf1o4VaLCjaT92Ul36kdBGR0jYMzOnBGoZwPTqn0Wox
3ARke9c3WXIus1Z9ajPjVYVegCXmCLj5UzWlz+lk5du25H2QmTFJYI77yZutWL2fdOnesfl4cqXy
wOPv2w6CfYfZaFXpQl1FVp1A2hl2A+NyVdW2c11+aGm+LbrkMzr+GKRnsCvKCFNKwJNfVCWEvcp+
x8P8NBqwnNFme9UwbUjQKN1IJ58kX4q5Ril8e3Y+A1aAbNA4fP9amRkwW0w1kR5VoR1ZizUeT9gZ
u+EzyNs31oWVp0MvduW8+ZykFg9GrmAxAq7tBNdCsm/SYB/lvj3POKAw2ljTtqnTkyrC3Rzq71Uo
GSukcwQBx82RcCFfCoJT2g8brBIo6JC6r6Y6J+hMQqQV1SEmqjHw8GcdePR2rdKh69Ola11CpaD+
pKlIpBMG8AIlHSRBUSIIy+7lljKQ4eQdzdeWiRSxjOxLrdSrTQuJj7YTs74fmsHL6r0ZLYRXO/YF
9SYk2L1pfOq09DHIG5a92E2IorcG/GiCQ0gWwaaNgm1Zm+tSvEZNcc4d67mvld2YOes20w9wkv2h
LwlnLNCAQPPGtLeTYyj9KQS/1HqoggHBnA7g4wzh+nnKo9UwZL7DN93OlJcuay/q0PspNOqV5Wzj
NkjXLC38WYoARvf1zQzaz3VKkHyk01CZ9bONs9bIOkpjjb2lCii0Yzt4HGegbhjlCF6u76RZO00j
JxdGmhVj/0W1al2NMXovp0PYWx5Yu0s0fqAZOKMT3CSsvmpZI6dBVJ7GkrnLlAP1m4uO/SNWi69R
qF80sz1rZu3HaXijwfZkIHUro3Ze7GRcJ91HaygugITrEnXWGPXZqEYeQvHCI/JUgdq1slecWyC3
i9dQStZNmhw7ubvgJHA1YXC8BNGJLLjnWenvarTQFjn1HTF4Uwkuxchf83BxQkv6m2NVZ9paX4zT
idTvnDZcAyuo+LkGA46E+G7uXqLE8TJjZi2VfJnr4i3XpkMknewyQKigQhAV7OOj8tSYDVYH1tMJ
Av74AYGIxqEQDWudYxluGjoSV2/JJR/z7aCd5sTeDWp2kZ34vbd7T8twvOkB96dot2ivAZxXqyiV
TyJcfC5OdQz19K4ugJPN5n2X926E4BLe8KfoVGCjbh4TOmOtIke8Sc4lu1yFCTURHfGTFeMrk2bV
K8j7HJKrNa+LxWw1Dr7Im686uJMoTv2x4gOEo6aj0sMTmbElRs7bkNg0JmvTMp/qsX5jcxx4ra6D
yO+jJ6OSGheHO+rIJH8ccZ/eDbOjuOiLUSPIMoWNIPMDhpU7MExIaWvTlvlCoRtXNL6fwmT6ogbd
c9NnW1r8fGXp9VOdsvYfEryCtWfQq5mIQ8KRYma+9eQ8dBy8KYY/zcjvqxKcZtBsJwXyc08SLYLO
wXDcIRqPDjqIKBBkQHxkUU689V1bOfshh8vfgk1u9ujP12ZmueP9OEcb0Wxwrl+qQDRrSa3RNUQR
90fsSagNOq4iANQdgkDQH4+hpT6Hg3wfdzLngb2Nwxu527TSht/F+nUmbaKsu+Mo53e9cs01vkDN
4iR9lWSiKNmPgkKF1p28DWS60pke4xKqm1SNe+CDioun6cMpniKezUnA2FEIXKqFHzg0EmW1iVsU
RvBSMvtmkvtk6+1nELkrZCLd2gjkeGVTP3SS9Zy24PCn6gnqtjdX0q5TD44tEfvFkaVTkuKF2kNc
flDyW2+ghZ/0we2atHJWAdAnDuv8MZRhf9H1xyAM82OH7IrSspnZ0hfpqbTN/ItkROgvwpkMg0Cr
qSFrp30xhlQ8VS3CijnG3NRn7fRR4Aq4OolsI9DQ+q/9IFJPTx15axjAWonjDpjAdLbL+JA8BcOQ
v5hFFt3ZWm4e5CrEe8VhnyM9LdMnYTm2x4DEuZ97beGet9FrTjXsZ2Q4oJKSDMVry1DsE2AdnRvJ
KV43FMbQ/uIdMvjQt2pdfucl7S8AX+c3KWfZkhtTuw3kRHkQLBAQloTtxY6mei8XOIWg0NcP9HvU
xxRm46qHunkHHke7MbIdXcmpuFuSiPwQpcGP1OvhrpMmdWPVIXfcLI3rYFJsoAwS4QF5nznbTpTV
qRBJ6HHXlO5oOPNOcsrmpBZWsM/qrtk7ndUjrJFovcba4XNHdnRqdUtxC3U6CZRO1DPQ9B8EGWFP
ci1PX0rQF4ekNYNNCMTyoo+z+IQ6yTkn2oIsrjSeH7sJ8zc7AZQhZZoxrCiNk4vet8bNcJLoHirU
dNcACD0rA3qJXk/GSw09+jDpTz3UxMbu660ztyOEKEV/lHQdC2UBx/OTYUsQ57HrrvV5zEj0sLrz
EM8M/rgwX7F0WT4RNfaBWInxLann4toRInJFzdVcsk5Jdnk8wSc1HADLYYwNWdgdvGukcyF1PS6E
0kTRMSOpDlTFFXqSb50IfAGYTU6VFPoV3roF7pENiqtokfGsdWHkglfNXxMjU8/l2Gm+jlP7IM0Q
7c25YFibxVcxvo5Rh6IrMty+zaaLqk7cpGU+oeTmmzmB8mumfAvKEq18NX8xGJrS8TadsS6D/hZI
5qNdzBc8J5/MOPNRdO8igRVzRtejt7FPAMihihOMxwMjL8twJRkbgM6g0pi4f2XrZZCqXT8BEuoU
nWk0l5mafNbr1IOX5fZhuoEd7BVUbgvH2RhZprPOPduhLm+LoH4eVXFTC30Xy/Y50zugGbMbLfY0
0W379KzK9ZOitI6HG/aF9CgiFsKYijI3b73ePwborMvJBPu4cGajlEmttGNSfLHjsN+VSoUBl3W5
nxfkU6ezepnAowHCyRD1FZ5TRacqHhrwWRTlTUyQj6pv+rrdFI2krkuv6Z67CIOXaA5I2pgG2psw
Kz7Konn8y3zoJzsG7dsW4c+hi81WwyRXDGqMBkxAYej9/dDFxM6dtIYJ/j57ps2PD/PYjRfsNKCV
lWzay2ZRnUcRznecT9H9gIbvpiRNcqkxPw2rxix6tOyI8axvj0q6PDWENzhnY3mSouWZSpenq1qe
M+XbE7c8e2IO04eBwAVKZx7NbnlGAbKWp2l5boFRNU/Bt4d5ZA2y77JU2ocBz/q0PPX28vzDUQk9
ZPfViYQ/Zzt0AxEmQYhXNwnSaV0odXBVNUPdlMvZoiynDIzyYRcGnDxyG4zADwbtZhH6dYdMjvo8
jKL2QU5E8yCLJsfvbNb7cq7bSzjTjTnLSacGBmfecvqZyzloLCeiBCzkXV1OyXpq411EkrFTVhHR
Icth2i3nqkT2hJd/O2y7jNCbKbWj16KkzijlybnXk9TxIpQWT70W0TAMA8e3HA3moZqG6E53hPIl
cKTRywHVaWXCJf/tEhAdboVhuRma5Y4IlttCLPcGA/npAwZlB0CVW4V5jnhSlptG+nbp8NcUO0Ky
wEkvd5K93E7Nck8FVhbtxlEcxXKHRctthp3+kVxxNVzZczN/ZUh4sC3SxlaVqjRYAIlZtKeuLVcT
+5nnybAYauVgIj4NzggUZtKQ15UhA6iU76bXmb1YzTkFnMpaA2NAcbaarIBWgFFRLdXoXPZ887Ss
IgJEl3xTiuAL67UF+Ss3OuGjWphpbgit2TQk6NVrGLrLK7KYycmHtxuLe5q9C1+mIkK1KESGczIx
P9v4dA55wiGxNVHJYb9XdCoFGLoFFjy8GW+aXN71WoaDtWSNXW1w/FOX0C24HcstBl65aa+S1mKq
ZpBh1FfVfUS36Q+S/qkuGOV0ck8nMVNXznx9p4ytWDiNniMFtySpblkb5Z40JCTe4ksDmkP+ik3D
/k4T8ywh1zhpneN4Tak/Yg6kApJUDbhan3LCRqRbVmF2bw+mdLRZjXtc9M06kNP4ZiGEX5kgp4mc
MG+xktzsKo7gQjupX1iU2V0u70NNab2iJ958Y45EJTOWS9c9YpaYhZ+PDf8DnwjCxGrGsMrEjEXg
dETrK6+GnH984IvhQqN4MTpF7DFnaxuwpcDYa6Fuqymr10rvwHyY9a0dEaqWFQMqYbkyNgxTGavI
9eesk++oCzHtmyPUWGV4LMX4JNS8eBgQ619UO4u2OnstexUC/zhGsCrWWRqKbTtNGCElvJEaBuyN
TXYPsSt9s+lVnjVhM9cMiKBjRzdZ4Eqa16HorR2UuvglnotXAw4szq+y3maW3W6xTRO0OmcdX6sY
4EKej26toKhvS8xdixWLNDTmiyix9MV5nlNalDLt/NWoMASGGhXTFNHyR3YgnkTQ8hee6FqDpR9o
nP7Gzxm7kIgerl0MFI+IogGGtEaAyp6AJhAn8UkE1lelbPIbwtWZbwEHipQXX+liPlAY3YhMUNxR
ARqMDlw/l6JMXGHy2WVO9BX5prHKkoarvWryNVUBCsYpfpsm9WXIPslGcmohCMBLiN2psK6zIlD4
psWH2cz3kyJgC9pdwRanzTR4/Zbq0XTAK6nVfq3Bp6cTofHoCyLuhNDrhx7hzSMoN9i/lvJlBFzo
GVXyaNWZr9QcXBKqOzpjDAFseKMjMvnDZA3oMzSeL1ZdME4kygEG0ucepzZya/KA/LjtxQ57XeSH
Qzi/JPbSZIYa8AsCD/m5xoLlnLT9/BrEab4G2RO5FqkLrm4w9LLapPzMtlHbhZIpH6LBSXZZqzeX
QFjtlXzy4moE0gitW6N6UivLH5eKql9qq2qpsmCiZncLKGWtLzWYKrXWThqExIZxqc44cfVHeynZ
6qV46/jEv128/11j/f+tsRBO/e9rrFsdl139nVDkX2ssfuxfayz1N01TTQWwEkAmJiKIJ35XijjK
b+yOcDuR92UutibWVX9usgwQvWhL+BEbufNfNlkqHilHBvelLRgTGQHEf7DJAlL2wwqJcsrUscSy
HQPt6/yoFSmLlDgXXekQiiFe7+jiGXfbft7nQPid8cU2qZb7McrAm6XTdhbt+6iqz4ltv6Bcku+D
yq54yoavLZgAUiTyZRBigs+WcBiPbVU8pKXcHKw+pH6yoZnPPTv1uUruTIyWbEr6yKeW5CgNy7NV
pvD+SWuiNDZeBMUJ/IDpXtDS5SXCr6lA6B8ajVs4ib6aUwmbvHYGjK6SHi1Vr5GoGDixT/I5iYk0
NbSAVw37VwIWfGkWx5qcdXy0Q46BwgyvbDEc3OmG5MkVjbeiJQXUBo6FFmEDUaOleSTDxhpXpaUD
fQDj/xQ4zLbi9PMQ1Wyq2wzxVjvNJ8nSYaOPI4oPAb0n6hgTJqre3ecTuQR1qh9L1AnI/41uMweT
QJriSOmqUmIwHVY3IWhPDKX7UHBoN1NoekqtWXc6VjTXKSMvIn1iOzVGDv23Kk5WIuCMAH5/0xih
+iZlxz5q1HJdE+vkisGxdmmtlOQOhOZba06v9ehErkYJikmZLDPVyfhPhVa+daYjnQKzxzow0ILF
7ZCs58zQT3NadxsjF++J0g5bmmCLlNrE2Qyhxr4/UVQOX2EzKiXoLI1IhRycqmbqMKr3NtUXTncw
7OlYXZg+pi+amF50u4yILoDf0Sy3dd7IR325v0uhR+t5udNTLpW4sFPfEs6rs9z7Zs8/PtO2RZtB
AWLUUyCIpVLgn8p8uayjQ2xlNxYSN2upK+ylwiApK741AUZkvKpUnFh3CCSiJsFfRCDYUqfMqaN5
w1K7tBQxlpYEnsUs+tQl1TPfV+d9XGoeeal+ZlXAJlgqor5saAeDW0SpZIoxX8kUT8lSRfVLPcXi
Rl+NlFhZMS7phs29slRfBKuUKzPRmk3eifZJDqF5GqZ9309kCo/JFe4U31med5xF5Nw0PWOlldPL
zhZ9/LKs1dSq3uYYP3ZFwD6ISq0urzpIK08hv3BNmkl2cbCreGCaB/pspYQi1NWXsG36PSr92Cfk
DRJOFHGcOc12RujZodmPmC9jvTcYVNxj57e3VLVIJozmSQmb8SF3ckZUrNt98m0LvPXmI9etuk3j
Pn/KElQd/KlwYBgTqCk6M+QhnUTYuyh7L0jV6kj6RbifpwFhcEAwB7e1UavrLqjfBQEE65Cyl2kk
/ZeZ6+Mdg0Cs7IiAWAJ3mts25t5EAHCR66BZ24GB29gZcIUpuIKn0u4uhNWSeklgzJd2crikZwrl
wRKsZpeog3JW7oKU5IOOjmapgsSmlVl4yE3AzNqE45G2g00QXcmoX40W8SbsY/K6JNkEMCB1z1Pj
mI9d2Fl+ZU/BcyZbwMdkK9kYvZxsY6LOdolVTYeKHNJHJy6Z4woCTvBhzep9NivS2cnrmSIuS54h
rz0TOwNRiIi3sMHoUjbjtWx79b0vlf4+HsxhLcUN+BitN9FzjWLe25BYiOEs3+iOhvcefPjFKrVh
j7dp8OmdGD8EJeMGUmBBY4fPtk4EjlTbh0DKVaBxqzZkF0leJNr4SROuLVWHkfBmntxYS9Y5nEyi
FCPrsCQlXYc5KI+B0iaXiPBuV8jdsTPjfpvrbfWMDatbsZdj9VNNjN2mWl538f+wdya7kSRZlv2V
+oDWgM6iAvTK1AbSaMZ5cHKj4OCuk+g8y9f3UU/PisjI6sxKoHtRQC4CcEc4SaOZisiT9+491+Km
2C28nZnOnkbJy1DTou+jRN/NHvBqO4A5AzU6vayz4Y5ziE5lFTV7dN7xB7cgfWEp4zEGjbrTDhk1
lV32N0QVeNsg0CD8ymDYlnZ6QniX3zcA0e68zEQpljKeby1ufMgi1ptZEG1huFBRGygsLw3PGLY9
YVSEKwQordq8Pc3koiJ8xEcaFQppl3DYhVPvO4LIcit9Lk7EzGPZ9z9TO1jCKGNywuiWqbYJIjof
ucdihtEgVCO2lygnA6iMnk234lRcX4OtmG3H6SRDsAz2SzCymhXy710caXkmdtTO4K977iqHiqcP
Ix7IpiLsuX206+AHGIMV4Mbua3GjTqwd3OGbkRwIVHA50J8MPt69PREjzHTE2HhGdg/oYR01+9lz
jV9519hoMKROnovSP3gwvbc+Z0KJalm+MuXV+0bWX9XMA+V36nFschFm8zJtyYy71qOmL9EsIadd
9gSb2aa9aciwXT9p0gejvTNSzwcFW08vyy8mwR/UxW+jsCPeVCxlO4XUYSc6aLFIYdLjHMW3adK0
58CMJyyh9h0QFww2tCBC2ED2FmUDCUbEHYFZEqQkjXn7GDtxv9VdvEJi+uLCWbOsDXYhH+gSJjmg
at7HQnYwLskvJo4EJfUk4aSO9/XvcvenrPm/U+46q33+/17ubt+/2vf/eC+//uP6PX5v/+Piffyu
0j/KpH9Wvz+/yy+dtPPbSic1LctFuotkikL2l06aOtZySXqmInaDlaT9e/VrUjJ7UlKe/ZlRav5m
UkybMLyRgP0Uf/0Lxe+fZdKowXzBwEOyofFCzD81FDMk0VBoVIRfn9UIo9h3kz39NWSP7uEP79N/
0b20Vr/F783L9XenuLYsvFkIspGi/elnxSAfq5qxLYSpaj+KESRnc9HlYl9W3l7L5rUwyZGZXqSz
N4S+gUNnhonzTbHy7HS+mhWHOk//P3lVfyfcXl+VY69JHPzB9/l0/mijiuq0kn7RRLs6WXY9agzl
T3042WJvxe1O44QWRhH6iEADxMeSAMAlYkIY0Zj3SH+067t//ILsn+/5n96nwMbZRagHn8nfybsL
eikG7NFo1+khOdiZexmXnnvvSiu6mRO8yLVnqBtC7AeigHx9TKs1d097VNv56F7qpHwz2tK7Y3dQ
Vw5ulyvX5fwRJcShoeVMmd7E/Km4h4w9Y4eqPPsMW3OAbgHMNZADNn5sTGQ7p0P4kEhGIimzfr1t
mB+Utnc2GyhsNZ1Ct9xmyj3LfNgPSXqE9giq8l5HnHuxu3VJMvMCgOAmvLJBMgewj7EfHQglP3W+
fZFSazTtt6UwLg1ML3r8MMorn7bBhlbvsaZcs92LXMJdGV/GgRjLFshbWM/i0u2fo2m4ROYbKpCt
DkTKooPB08d3qBhSkV0rTh/SpMPAW3YFAycv6fETY8WN1CrWeyCk/AjIDxutg3AQiNpQ9PsmC2Cx
gVtAKILAmesFCqHBbc8jyKbO+TGLaUsrK1RqomJH7t5UYMhe/EAes8ILifq+tKCwD8w24UbtsWyG
0NguWjiBsQLZxXM0SAJ9G3BZrXfH58k0D2dQj5laT+NWeDOIVLpzzUcibuyyOZW636Qp4SSrEMOU
x9plZY7BzsyK0EgfcsTbRnu91GLvy+R9pIR33Q8IE29d91m2oD+Rv+SxvOkwB8rlNm3pV6MILwKx
T+mkxVE3XBMEXD8gqXiLcRydF4qMrRjyG4PO9b2t5wpYOo+W3UcMlwu3+oxJdgCwANwgLMY6Y+hb
qu/dAhDL1nH1Lp2Uusvx1kWDTj+1ouRSTO6DsAb7ySdKDZhDPLxizwAV4MiYlrgg9APvRPxc1HkZ
KrIYNxZAIeSDueUSz+0NxQOnMMMyvxPbvtVgnsppXoBa1P787rWLuihBCXP1aMb4nIx1enIG58Zr
O/+u1aO47+3ilwnw3z2hf3JIAv0Ht805xqHGH2xWyR82uL/zEJ3ev97z5I/n43/5Df5yVAaceja9
Ht/ysbZw/mFP+8+j0nMw9LCWXP6wMrt/9YkcAeIGOfJfXUNrc+mX4hnQN68OKI7pEPaDMUf8K32i
4KfT8veN2QBDJ1xh8t/fHhEurLPcyvvkQk2i2JP3IrHCYGOTYQCnd9yAN9RXwiiDw4Dy+Wj2njhW
dpAMYKTgvky1ZvmClCe3HTpA++zhm7nuZLA81xl+nLBEiVcj9yqIIE6nRt7j5u/uRI5CPxRZQXvY
EbpK4WjHsdECdrI4GxyT0rMjlzj+QGJj1Jcj/d9zZ3vOEQ/y9D5GS/lRJ7mHwdzN6kNVlKBmtEdX
n02zo4c9LSQFkIaDP8qp5LwcFrNHeUru9NhgJwChsSqVXHROtQXcJAv89I7MJMzGmW4bUn1YlkMg
5q2fDxDvWI/+qw2cE7MMKc7hPNr5GLaZVmpvkzm/bgqJ+dpkS+5sAHmSUSdpDNzPJSm2Gy9zxs/M
M+Yj5Gv3aA1xfO8ZpCODRLMfbC8bXsyo9W6JtSruiWnG6NG78oL7nj6M5lzuGFKL6DQyQEXMAqvO
iREa2f5kBHsOSq7JsT0kn3Ka+RwN1TFOg4Y2DhsygPRVbfjOj4mE6QfUGBqvaFHgkojr5lXbuQs8
ZYGXknRZ1IaFm8VPgLmI2xo4NG4TxgTXC6UTWNW5Ztw1xMt4yFWK4SiLx+lJWL7x3BDoxSY3CfMp
GCxaEdJHBLlLDWXeBj45DZk1NaDigoYs4B5F9mzG3S1XGYAqFUIgsSvqSF4R2NCfshJO2qZx2MxF
1hA97zJpbDe5VfZvhZsbKN/cofsOi3J+9MYKk23n9pHFFAkmikCGcqb5QP+I7oNS2166NDSarJM3
KBNUg0w7K+fQk6NLl8FQ8J0mLeZ0Q/5T5e4QphnOvnC1+F5ikXK3JDjjDwM/UesdnTfukYYssmrT
e239pgGYfTPXwY9PWnl5U3izRxQkygOcSpMix90rBSgV3th5CFOUebx/Izz30OEHzfi6l+TeA6zc
8u778beic6IfaVYLsB3KRrJMdjeEvGawPqmHzGJDfqo1Hpwi0jxSs9dXSFScpLolQ8s6DZJOJnEh
hHon09R9Ikied0ZbD+XWTAv+3tmdcbKMlBntOAzyza20zm77ZPRR786RB0NgKZ6aPna/Fk+nr3OM
WAvITkR2S5kWKqQf6O0z08jdcBVKX9aJwAyVZL4wYfhwId1yqkO6A4LaW+Eo42G/SBNVSKKX4Lsc
W5/zvZNcf4XyoPHNvbgzh6i7HP1xpWEAy3owlOw+ZOt1L1kGPRANjN57Q9dX2yKZGXrWrRzvEIt2
L+hbvE3rTdUVuYrNHoeX6e/mIFubnGM07gpbwnk0KoBAdl0q3ouiiuk1ZmONBrPLr0oL+PXOz3xM
B1nkVoTNxcgCSSDW2B9Al8LnmCqULN7obcZM+Du/q8ZPiUGwIT0LSVVIY7g/q1wt9z6X82BfRVUd
oTlc5sOqfD1YtTIv6XnD74aSbr22MtdfmJRo/9q9ucC0643zgI3gLNEhJ3RgXHE/FXX6MI4GM1sg
j9alOQFRcWl3AtuZxpsO51W/safSoMM2lN/WtK/dqKeEqMsoeuwHthw6wbEG0wTCcgNDCilcbyLi
1W6QvZXpVN1kiqRPmKASjvU8X9Kz018DPaQgXJKksg55XhHrTHOWz57iFD6si5ftlStO/irI7KVJ
5WAGCL2Z7G/28P6JT4cEexOazA2MVEbGik7S0fBmLGJT0DmSZNOsomVjDDlNOoeAMQhG1QeNFf+x
dwcewsYcGMQDVs7ekLPX3xg6oOpvmrZSVO1u7xHRogkRJ5Oey0ovWp3S0jTr5y6zsvzeDqoCbhHJ
8/DOTbfZOiTo2FdJtpjTduTt16i14GFs/HphgGAr7HBo4pbOuanxNJ7RVlP6TaT25tgybHndNkJ9
zEmc/EiMlijOzkwfY7uFXiwV0Xsb+nLBIYOom4QqrsQOlVhdk1gj0guXhlq8NSqEge7YgH5zlkgd
h2lEzu6NZMaEquqra9qtyBHoxsa4EaP5dqobYnQNWuWHsUjMS4tEU5pZg3JD9OIemRXYA08O5Ekv
tCvyp+leJYcRjdcwQ49MwLNwkehIGV2yut4NRcGFx2xcjLSNX2QIY/JyR1z91TSnwKEyNfBVFa/w
rq5E9+KoYDr2BhVHGMNlZW5KhgLzlQkmSIxP4siy8aoXeKiI8d2+uxB+cOg7haprsdSrCloAZn5B
/YAUkYl1KdUxcVYVpJW1TU4wWOSZG7Ydkp/p4h1a694J5jvbqiSA1VF/KU4DDuq0f1SlCq7Qhswh
xF7wnWXX35cRwfIuh8+BVpJzdKT/LloopnqQCviAQ8pk33VPzuw5F0HuCZauYnzT49n+3qQSLRgG
HXk7WJaD/2Aa5lCLoD5aUV/s/CUd0Gla1OVOmrbtdkozEnWcpj+VMThxOUb5WXls5Ks7A5CkNSO7
DNExGXTNQKPlsOYN69Bla+azTpv8UqfEL3LBVUdIXA45R312pWXqXg3JwM2FwWP3DRECdByvDD79
JbJL2H1uc+MCqAcdaApmDD1BKW4dRfCoDPsL4Q/ENpT8gONwAjVKp+6uyIF1mF5fP5klNINp4OMH
KpV8KwjGI97czjWMNT82N5bIxHWZS/+TqZRn7lo5VVz++/qtbyVXyr7pHxub29UcW/Wt3/vzmWD6
hRtanjGV9zqxcyqRYIUzkSsQM+zAOwXZ+Ia5KQNkO6j5yXdTALreVMTfo6RJborIcE4kY4giVAWr
cDPVvcUBSrbf6+guYgcjIXgwXAe1ZGNG8atA8tkQLzHObwbhFG85d9QUsUs20wrN/EMS1AKnie8c
5TzlP3i97a2Iu+VD6gFzsa6XjvIsbVWN0DPoH+UyETeRdZOXbZ04DeyN7y3LXRC3wV5wW37WTE73
gviVd8m1mGtXR3Dipu+iqd9EbV+2Ia6p+MBHNZ2sOO7ZHdKovUtbh8FHRTZptunJ55Xs3nOv4Eck
bXoUmTFUh6FvScGs296Mt4GcfbVXVmJdQ2d1X1YTP269ziQZmInLaCFQCGL8tjYd/jQWukAlOa+M
ViIuGeVw4XfCwW64uRP83b5OwNezbZsmZhWmWkXn1LexZ3l40S95QqQGLJz27zHYWnszeYF1T3o6
738XDKTBIMocADQV6tl1k+YeADSpcC33oftsceV2tMY4NDAmXqWdF9xY82B+T3GZwHUliwv4qzeB
BRc2GtBNDibnAYlRmuwY7LLqprZLSrrlGkmDZXCFuSUJdiSokgY5wSp2VW1Bs9YkfaLswB3PUTGe
7bRDl8+nQHzKLCtx8C1Y5FCc6gaY5BToTSWV+yMrDOltS6JHnyQEzPc0MMyvIFDDgPJcc5Lnbdsj
QQUmTv9laHA7qiyrkXH3yWqGiX/YQD3ve/AF4SJrK91TY+oC9GCKP6dq74ag7LataNmiSuQy+4Wq
LcMJwCwE/SOUX3OA8+/7XfQup8a+N0tKjB1VrzTCtpCe2s1c21f5nzJ+oLvS1GhDeyk1v/hGj021
N6Jy3rXCYZm4nMtYF+bBAphoVu+ObGr7NhtjtcObhU2ntufbylT1Epbg2xEs1S0DCp4qO4yKJrmN
FEEMTh6gbET03RIq0KFeVKPd4OZw1vmX4FvGT1mKdWTDyLl+ricBB6uhV/SjUhiSAK4smArN3N+q
qGGunxnEEgwzH3I7Gxc9/acdXqs6xuRPBYj4lNlQjCZ8N2jGT7QYc2/jmXENLc9or/JZI9CbLa0v
jN6SPxZXRMuBiZWYz1aWGo+gHfkuQdKhTBJBzpWMO6d9IEEgOlY8058LweA9tYoV33NyIzB3EOhd
oXAqL+vepFOGKtA5mEaHPL1hXCc4Q3Zxazc7Uu1zbN+Z0JdulmQbpnnDTlbGuBmWbjjzot2jS9f5
G3UAaYi5LPc5ozKDRaMqTD+RpodGuDbyMiwdc5YPKBMGY9X0KbI9InJ+8VuZ6Z0wtdpZNQLmjRdI
78osbMopL492th99UKfKg8ma3AFS7HZMnuI3YgX7jwX1KzonukbbeLHzt7irxF2srW7ecDvIjoh+
1EEbRREucQ8Fc45uyYKyXkkgTu68tGVd2jMgg8j35mPQjNOFW6v4yvfrnPfdT5koosoKZ5F6hyo3
7Zem1YI9Kq38tUIvnH1imkxLhevi1u3jjGo2T80Pjy3mIqUsRSg6Z90Z+yG6uZEZ4tCO9DFtI836
bexodYkmmSLaLNLqsYqpeCnh/Fsf/d2Dqyvnksm9cQsQkNm7XxESHGf++AihlTERO6996cdkuoh5
TB5ZehGaXFuztUXALwNU4+wuwyiJ/4CLfl0uNajEKPFvyTX2EXkGAVIBEL752TOc4SIhteA6pYcH
fhWOxE2rmnjZembBxNwcxGVUxAuyxCHrHxYbXCyNy/FWGrH3ydq1bq2kld+bLun2SAuBlvv2wvTM
mFzrBZMvVb2VZ5de42dM4Uxm3+ZIL6Po2a/SYSDTfggKdF7lkBDFVBTkJjeYWxDGoqwDKhVBUb2C
+h3scsE32URGSVh0T+DgzlPO8NJy1CX8tEbtTROmWorQ5CGyMYb0hPhhfh1qu9vU6G4xekJuQJE7
nyvEa/AgqFy8kOl0+WgVFnm47pjdVq79Q3AZ5FRuSAbazoPRnxZ3Fs/r8bkDtRiU92p2p2efQ5nP
UjdVsMfp2n/Bcl3C/8XlXNVR6agLZ6EhCkNynreMH3HO6CXxbjRHyrBV6Dq68GfH7P91q/F/ECWb
GRk9dOcf8hHW+Zpi0PbH3uHvX/dLWeb9ZttIxKBbC9tGHW//tWEIOmHVnLm0KWlgC/OPjARCA20P
bJz07Z98IrqMvzqGtvebRWHEvJjuJmA9+1/qGMLj+duRFzLgwAFGCM97DSIU9qo8+wOjTwedbWJ7
KC6XFMhoKd5jAX2F6rm4ToD7n1KFxaI0iidujVAA8sE4NFjB32fXE+cs6Kh4sGBlnl9uknpCJ4O0
xy0DAssKuVWtRJY1pALlaL7Kitzxbmy9tZ4lx3qqB/XQJbmB6a9tMVi7mAqRPXX+eekYKwReuksE
nMJ+jO6G9c5H/sTOBLSyQQr0NCdRsG9HTBOi8E74ArlJwH7GbYHoubKRswZSn1VBDdZPPfdwtdCv
wJlH82baT90IXDsDd035j5trKJxtQ1eTU09sB3K1tpUE7Zy46LbkF8M2at7iVHDIL519nxbeVdVy
nNoDvt/K/uFZ6UzqS7QaMPNAH+ykfUh5b29AkjJK1EZ9YEd/AuO88Y3pNHi8mbKvqaoXfuXUya/d
sj80Bk0wTGZnh3YJ6J6qOKRz/4niR19Hzx2Di03XKLlPmuHoWom6xnr1TCW8Vc2wI0FxaQqX9lxQ
/uhdMNLSz/YWEIM58Dflkj02+MeSGtlJK3BCjzXKcw7oraGzC2MZ7gzbG3EcdvPTkGqPiLKCOtim
xZVXu2WNu5hFE2MgipOHsmiJGx1hviDoiDtX7eeZK0ZWFe6N58DxwbKpED9zlV4wiR6CnhwrBUTk
0gaO+ugU1b2TN7TvLAevTFYky4OpIs1ltevrQ29k8c3sgz33nuDr9Aed+eXt1JJi14/jmb7ATYJX
Nc/9l1gRvZdRWtEyAT8ztae47S4NbsRkyL5M8dReAQxfyKvho+quqSt/5CUtVFVzJZfOhSdqxe10
yXa9RXrbGJqUDpuG5m8YzZpBpt1cL4T6QdNk8sixTbg9+RfLSmfAbfxsE7TEFs95Nfvrz84uG9PY
cG8xn+yU/jEDQG9D68Du9pAssKgGk3VoIlDFnvXuRgb+GOorlcmzsybomgXevubW6QME09m2yint
dGK9jq3J16RVunMHwsmkX+7LKGr4vgteJqdojRudOOQSTZqEQGklh9IJiEd0GwIe2zztw27x/FvV
ODXHcbdcZW4bMJZqEgDaZXxlANS/xOIyXKosUi+ZE0toREOXnhKbFkaSxbDesdI9dmIGn1/2HQQC
c3ldcgiwwNqr28R3xkshSvWGGEU8aDfVIfVojnar9K8Sv5JXtUx9BmTTtO8ta7Xn6ZlUB7d41H06
P9JyHY6ZWRdPBVPUfTPaWKHaWrbvPcK0bWMl47U7Se8sPbc+MWKc7jCWO9eepYdjb7ZUWLRCEAhW
835mYH7VKD+/JHqFc6+tku9gkxi/dcXSftUFaNINnhR51sOUnrNaTicvUv2VigJOZwDitJ+C2byf
nLG5tjC7nYq8Sp4QMElwDl574lERJ8eYzBMDx55Tvk3xdRS1OECfV9eIDIh46fvlLlMkEvwTRcBf
2HC/z3lQG0sUyQ42Sx/UmUSs8Le7ds5UonKIBrwM4lhd125bjZdZN3bXIKwxyEVgv2uLtvpiW8MW
ICcU7zEgp2k24p3bD0/0ao29cpaGVZCtXoXO4tYZp+YeF0/HHSslTQ60PDVtFXu3fmlmVz31HIg1
d5M2Ut8ilEUYFAXqvMSKD6pJnrxorjYteoGLbh6LEAUxUdmL99i22N2GYSpuwKgDlJ6WIXqsJ5BQ
B+ktyPI7oZtyS5Qe3lcUVAgAfVEvh1InEaGiUHrmg1nESQZUzK1eDZrt6ZYxakVCpFU+OSIJXjs7
PgIJ03vDDu4HYRzKtC/DBf5KDSMybHpBpL2p/AMj/ZPh0GxZCosCcHDu67k/JXX7ELUiCOuK+Jdx
9o7EZNNaQsu543aRbxxj0KGYaJBYCcgS7Y5XUVudRMryT9MFi34X76cSFHg2tAz00eRumsmPP5PR
m47lOLlE86zpAwJ0XbVk9H2kpfYEfGf3NUHj23qIi+tBT+Igo4JHSQueKm365mmqV3LbkHWn1DPk
efDM5Ckh5eoUp35znaOfua8s37xNcgdTpkzH/orPej6Vtc9gxOzlGV0Xzzuite4LfPfoMqxzku+F
IoN6bqN5364rZVnXTLCuHvK/h92wrihFn+GYRLNznRvlfFc3aXNyzZLzOenG6xqx77b02+69oRcf
E+7tdvt8XcFyXctQwufHSOQlt0VWumdx+kCAmJC5sQ+k646waDxptUvq0diU63NAFwmchnoDlDJe
6nVf0esO4657jbfuOv26/+h1J0rXPUkatXmZB1ZKg89ny5r7tngBAQRLOQcuV/dTfKV6GCBj7wfv
mbKXqzoykFz7ubgl3JKNUfKvryhA/E9fBMlhJvce3kLq3/KvjZuhiclmxJu9S1NGJFCClhWkEbWA
1jotqVByZEvdnmRMZW1sT2TTns4Sln2QHn4RWrHTLheFmxTjdUnoXGh6DalwGsmo3toS0zGgABll
xxJVXf0CkZKetO3lNROnklHaRRW3Y3yy0R4gvexS+g1DH4wDwIJymVh2KVQfMzZA1QRJssRkD84N
PkZNMhUwcg+BUuuu6ry6zKpD0PTOjWOM9jmIZ+9uNmBRKekwf81c676Dzp6HhBkV5qHxabsyebKC
CaElrV3CQdGxj36DwEQCnd60QicG3Wl6Rqu2FJ+tYNv8xiw1dchJKi32FoaOkkfMaqxT6/T2fd43
vC9lc0c7QYc6y6BPdEsd9nZ5QYvKJH6jf+rHk0/PFlWmeRaBrM8u7THUHQZZs6mT0ByChkNToGDK
s8hNLeN5W1Q1iQ6uQP0/Zm91Lqf9kk2fVuk0YUBuUCAX+zYym+ma7oQd+l37kYoPsDXyuBBGy36z
2GiNOAacqnE3APAOjMVwSlr3GW53YhgCCDlTROaF8OFZtuZuaFxBo3z2L1QVFWGaOscoIEw2ZzRC
1KVzMjj/d6auPxWT6vUzgiOw1M6mTaZbjvMnbdXpD8+d6PQNmConVemrDL0zKFAU6FZA7HZmNcsP
vEM8g0Nc1Q7Mot7MSDBIAUn+f7nBndPPlgHEj/5/r3fDz6pe2hSez0993+9/+x93z3P/oaIyTLjk
pWgp/0Yl8peb3vqVv1SUPnRYEMoudtUAp87qFPolDfF/wziEjM5HwvcXTN5fpSHmb0LikqZm4RqG
jej3i55j/uYHYg0yQkPM/m39azA8fvjfSBtNloo0BacBZ4br/vmeNyS+KMwiWw7+1DZPRVOJbw1D
wHMArqVngNjOr2TEfkS51X5nxZRv09AtoT8mybBzuwlM+li1O8EJ9K21xuo4FjUxekGqvjwVDy//
fhj/W/Je5JS49s1/qFcCpPre92n3d8/j71/8S6vk/uauIlwvCNAY0TT4z9YDKiaQjZKuxJpBYP1s
SvxuarNMe30kTWl6hNbzWn61Hizxm1grz8B3Lb5UIEP+F3S9POd/eiR9csh4EAkTs6XDz1sf2T+0
HswoA+WdjTMhclVi7+E1tiGoQtJ0FuRKeAZqTVwsCXrkaoxxxO1diBXl487M0ZjX9W5IfKF9Kqef
SBfGjpuBhvoJsb96yNPJePRWaV88Qxb2izK5agtBUkzrgfXqMErvhFOD1Cq75Gt0AnqYclEBXO/E
SS4i5jzPOi4VgBtVMsW0SnfcJraPNWmKljt/JvwWdfxDPDhLqI0LVRRDsLHHwtsNjB6vkkBSXSEK
s/eQazgTiJfq+1AoIloPpT0112m14F0YlDYfIi9V35x5jh8quyq3vmlnH/hZ4vOiGhx+izHqj7iS
HpAMV8Ckw+042ROJeVZ+6WU23VYGAD4sCCunAFW4VeeuQ4Cr82xHhF++Ke35KgbLt7OKxKbd0Nok
8BKj6A4p5VTlWx9BGuCVKivipBi2pvkJOVT+MSGJmNFnKvkVV0b8ZGORWo3bElJSKtCjbWN7LLfM
IXE2OLm7MR3CdrIsto8ZHwBOxcoNez8br+aqJaKYS+tW2DNJQBrWM1OdksGXnptyl7g6d7YOWvDz
4E/Ze1q6xXfTjnBYgV2rDaZKI8YbUy4gyCTmRHTaiCwBNti8DyOqj9Av434TG86qNADNg2t5kiB9
SJRPuqjrwfWS94CZKa2YDwsSU1umPt8wFMGzQ0eYXDgdP8danHLc5u0UyBD8Ph3fxWvBlFQRg/EK
snN6wZVu+MIdhVzDYV4IdciQBzEwiASB5C9IVYaKwZoT5MyseKyfegYWt3mauafIH7rHpEyq99h0
mG74fdkwb495FEMRzPVnAwbntZPoN7bgWrh5yAyVkjX0Zb3RRG3khywr2wdLOPLWdS0j2up6kqcs
rxBjJU1D4EWZWHYo56C9wyk+P3euwVCJos74Di3Yw7djWe03yJ7Fh9/4FIXzwv+vbDk9dmXpABno
C6rbtscPfUHji476aCQlbksccpOy8Rn2iGdiBErP0p/qezRM+tKh1mLd5qSuY4kamXf7VGiQ/M0t
9KCZkHHTzj9iFtf6pRHFstsq1VwwhM7anTv6weXoUXUrNAVUwK6azZe4WcxvPo/cgvOz0uvNiA8w
GCpeNWFaxKE4DfGhndkS7szdYU2gJvudtKjvkbL1K0TtnQWDituP81mNEpG4mWfthyeYmSJ/cufX
eczKbTMkKI0JS3/E1VafksAhBsdz7WNZKFQ/HnOckLao2pGR1b3oTmCFjLseTVIwVSDHeyBnpkbQ
Qw+yDpl5MJLi6tkhV48uliWB8LHoXUXTKRwnBrnoPfCAN2250baInqWNVrrsue6jU5R+aFjIvDZL
39YNMcdFs0106aLV0KlphcU0F9XOxt1UoHxv0u+M5ZMnLZLkykQCGu8o8UFHGq49fTNYKNa+odc6
4O1vhtfCyRLy5Q3kIZs81SxtXXjNbb2kxbKHTYg3qND1zMC37tHmeGwsA6Ke66bJlwXhfUUAadF1
37rVZsdN+isvxgz7V8s+PSpFn0fmqzNqMDzmpLJ5Mns7O2ug1vgSknl8caO4PTEPSl4tGg+KLlih
d4ONnZEHlvI5LKhSkPKDS//sIAZcxAU40SZ16zAoqTo4SriixJlqvlwjptw3WmhAvHnTdGakE3Od
8+LF23ZWlnVEnw9BErokYAcAGxpfXCAySQI0qTHjGgjW3ffFhUodTtDiK43WIHbH4qIt2uYY+Sli
QN4p2m41SrptMam8P9id0yVw20BFuqnfQ63SJQ0TwLdM1CyykFGzD+S78dubbrfl0Wx+zNMScBuG
mmARDgG3R89sTlKVDwgVV8hFmgKcm5rmNRWd6XKjCYK7vm7t50VUEYuuye2TCc7oSbZj800Q1XcM
Mnj+0BF7AwN1HaN+6oPyxuf++NQs3LnZNnweHwHazdkvtQXyoEvH8yJ6xEvu7MbP0hpMSLEwGH6Y
jWkFV7zCxMHLC6cJFsUSvPYzHWgOKLs7s2694iJybfT/7eT5j+xN7WksiHmdosre4xUR2znCohnO
RgtPQxmpgaJKK2tvNFVKmzsSL0tmosfDk3uTE3dLZh4SHNQr6S0hCWWYaMu6zdiRuG8nzfMQm/lT
LZ16a8HjrE3hPPagd24R6uFPBX5/0fwf9s5kOW4sy7a/kpaDmkEGXPRWlmn2vO9IOhuxm8BcIom+
by6Ar38LLilTVDQVWSrLikHRYqIQBXeHAxfnnrP32maq3pVqrryKKAfVKNDPLgqdCSYGRIyHQWh4
d6nq20c7D+/yXFWOXk4yVwzFYqKxR/FRiWiZ+HDK27nEV4LXxAXOtAzVLBsAeGgMLQbyvzHTJLQD
uRISvUCukHm0GFufro8d06EacwlpFDt341M6dIkcPycBiAoFA301z1rSW3IrqQ9pAbKxkFb4DKPy
iQJ6XPet26+9kJ6Cjf705LUDrkVHxjcO+Mo1/shxAx0sW5XY/S2olEJZZrJ0FkMbAKBF5iOqC9tM
0+ck6Oi4O5ro8V4kMb2lrFKNbeIj4CZszzG2+F9QBo0YMjKlCrDEqNWymZyhqe0zZIlzBjFqbehr
gwUI3Una3Zk8Wq4Bz+rkJEiI0RAR8THmqqxPoxbJCySBXoS9tA7QdnvBpa924lY12uKoQXzsmJXS
usJLbd0irB7KeWJMgKFaF+sI1P3lMKp+s8+wfoQzVw2SCyuyk1MxuN5TO8TxTcP26K0qE1SMXANx
Ps+Dgqm0RgwmpOKhUsir9tssOYa9kcUzk5Y0z++UbXpVNyHwXiMfHsRo0iSIh+IYFxOd3qDLxAi6
1vSTRS4aDObID+4tow6qlXSdXLnsTQzrhh+NiLqk5631wAaFGYVkfW4R0tY53ILIeugU7kgIV92N
7ZfluolT7UqKQJTzxqwbsCToQjZWZvtrK02aJ3+I8+uKaYiL9agla7lUy70VxNyrI0Kegz3oEHLo
r3RzhW7jNQWsREPtdsFjoDX0whPZMcIGrK3fqVFfPoAeKo5uHeHFtqrx0mktiJQ8toj1NMuKb7Qi
3Zm85tR+yb9oBQIxXCoEM+zcIlORcrvMOyrZKEu7tq3PI8nQ2sKpjOHUACIa5jWBgEtjKLpPkUiY
lNEoaleScItNRKPyukMg3H75lLRCsjnDhu7J7ew7HcveTI7SfODmxG1fhllxdCaaQ1CmH804uYEI
iTQj8euDmwbYjVBpcwEaHW3b1ET9rwxFs8h0wRfveZb7UGj4UGcehgZ6K4aAjjrB5+8jyysPrpbn
N26eWzcAlYoLNi/JofaH5FHBjx7NrbR2PgPmDdaAKMxq3lu2eclArAN0mzT9sxMO6rDLe70bcHIR
LrQLMqEhhPf9Ad2MaX72Eh/AT6YyaMxAuiQzv7CRi6Pwci8ztPgbjSfXq6LV1qvve1W77MhahL4w
qk61sFK+65nZ6aFYi9wNP3ZuLVZKnkSPo6KMN6qbgoXqaL7ybAu6ey12gxuaUcll1rXjcQz15lU/
P3wrL6pnnPicGsL3boZgqD/1uVNf2Bmk5Ep2e630fWtGp9E6BXgx+qU0nICBqeeichYWrItuFPqV
E2MSU6UPTSsIByzFdTIB/9TMIMuxbaNx23dlzaJR5vifk1aYj6qvlcxxy6YGZB1W8KFVtfhsKCXU
3LwCP9RW+XWYyvIB2hpEoZK2ZgJ7/x5CNY2+fuj9rduhAF9pss/DeYpKG9aiMSrbGC3ORti4J+NK
H7QZcnpIhWySE6R0TXtAIJIW69hyGsJ/NUD2bAkIDa+k2BS9WsazxoMQq5kBdejQgQ0J2qwoFnox
YTQiiAQavUKQURlSll2aRhi+OiaxyUJ4Wn6sIcNtWgYhVDfwctemWkcbxyTwdwYgStxAZzI2UrOy
T04+ps/TLrvhFXQC71tDV27VtmqPYGerByAawzbW9JRSlQf+HKjJOC8YgfA3nUqJoYh8XyOkR9bp
Q0egk5l7aFnz6JTmSRUgew39K9z7fIQ4LoiIIfg8um7d9K1q8DlxuwCuhYxyxJYywRKSNp9Xo2nu
/aDXEN7DRAAV5bk3vYjGpeGMwsCo1lox5K6OgiSHTbCrQ9MRC2s0jIlwYBWbuinVeWdmocLWNIB+
mIgwNTdVU/PVUMarqTvsGWFUu4Yn0imMaXjiBvJqbwZgxq5nmWYzeGbU5XX0rZt+NcomIgKntoJu
VkV2x54tRtNPTue+FlBJKgCSL6mjWZCZerTelJFpsbQRXDpz5hDhFklX/YpvIb/wqzPoxvdciHr4
UlJz2lM0jpngtucpPlcdrboyWpqtqdV4G5QM2aaL7XqbtUNQrvws7e/RHQl1nUZWvlXKzkMl64RY
Oa0xuchcoxRbHRq9/4BYDuhcZ0sET//XzPpXmlm0dX7brP6xAXuN/e5HFc3XXhb/9msvS/ugGkTU
0R6zLJqhJsKcr81V+4NJ9qvAvU6TdfLWfeutah8MBC3oWgxsDK5lcLBvIhrnA38BFMmx9alTy7/6
FzpZlv1jJ0vTGdFqaHiQ+WD/UycH93edrMAbigoLhFj7kZkmaxuDNsR7YEdsWW3zVCMLv9bImkQL
GqtzPx7pfSAZtiicDRZFadryQGxGCFuHChkSfzkPio/tmC2yrmPuaMfmIrDKZGtTAn8KwrbZqlGo
o9FvfAWT2phxY4GzAGA7pE48d+wQ5lOCRD5ryvFK6AXBTqXRbKKs5V1YbItm4Gd7xDRyo2RF9cqU
CQ0F1SziyTREueNqzqXatOHBdwSaFxFRztptuUoFKAmjScNl3UQOdi8NekkwVvMSqPsa4qn7EkGb
S2fQ7VR8+p6xzodWvbXZ5VzFhVWuJ03TItX72MZ+IMcdMDexYC9Wr8RoZ4Ro4MMIZ4EA8Ue6Jkpk
P4nWqVNShfvdEEum0x0OH7N1rmUS+QurLHBPOUbxSU2T8tKIIRaN1nPjqhdYEiPWUYwFQ3LoOns/
msN1oBDchf/siBv6gkqjWvSG3az0KlwziK220Bx7GDCKlSQ0BdIC0HJP2GqAk+uuoWPKHC7pPHWB
8feaGNV9FaNeLJzUWHjsIOi/TNDcKd2IpcqtAOpnrchP1HQDMNLKe3ajHpvW6BRH9Hgs4qNQLALb
8S8i068ByynqBSZ62E9qo8O9dppJXzu1+qy0tzddDX2Olnv3sdNNS8NxacbprB+hVuqKdmAOoGxz
USqfa73xaMCZJJNzpZGQlUn7QSaW2GeCiAcG6szpyIYYltACwpeQwcBS5arc0HxC6JKbQbbGLJY9
dzBSrmxImbMEttCnqsifGkLMnlz00GtK4/gmpXY7spWw7vNQJrOCgd2Bab59YJLsI92wgkVV9wcv
7/3DZIVcVaWubFxVxmvQR+KaBzRbgB6pFPThmCvajKGRa3hQaWZh2egNOqVJTG4F6SbaYUDQgSdK
i+z7xqbintcuU7S8DIfbHlPjFuuSdqSIa42lbxbdSTexxHixZTDcrCMEYmPzLFNPHjz27huYE/pd
rTpKwIg8l8xHo+o5obSs5nE01uW86xWzvHTVGP++J1Pci4Ss1DM7jpVljD67XHrSIRShiXs0Cwov
k5mWPHaWld4bZNHiblT4Ksq4B8CC84tne9bpWN7o7cx1UFIYDWCnKKCDr1guGOXGoQgvo4CNi4M/
8SibsTl0YOGOPOlpzQkgs7fumGs7I25qtjSlln/GDu1fqQ1xbjOhRWLVVSVZCL2topbTbGUPEKdk
l6vJXONFs+hKgPO58LoxPtaVhAfnYVFtEo2UB8foN7YtbTY1iiyunUJ6V46N6iZI6ad0BREpsxrs
0wp2ARUhaJ7wICIP2HY+WActqPu9SnbJGkoIzhu1kBcBXdZns2BnTL1GJTIXw8cCMYc7Nyn+77Qq
FSS7j/nakyBpsSZVt2ZGIyo06C6HiRaukfZxb2EDicm0TuQ1HtX+ejBN/B1OXjXzwiUBmyV1CYBs
o5RqBZ6sC9BteerGjc1u19hKedQsNz2Gpm3el4olCVpR81eJLH6cgREQG290lFt7aMVVVwvzXvNK
PFpaIRG/EM8+gw0b7YEFcklnuv6WYa1c5Jos7s1c1RZK0Vf3YdAiCdDJBZwloM2XujYQy8AcGUpG
HKzUOpCg6P0aWHDFBllBt3Jr2Km3CgLMrzPQl8M2jzP94KfhuB5Sy1w7buMs8V6NC1+LiGCpWveR
Hby9KmvR3uCrnTI8JodKI+3HUJJbl/pVsGKmXl4KC3wCEskpBYT0Q0MT6TOSRffZddL02Fod5rte
YS82MjiIkT4s0w5LDBQqW2yp1MqlBtDUmJtJHOxias4dLZgSVoZTbY1RS48FKAfymcLPouodOvD1
rsD6u7Z5qpFO9FzoY4n7q7Vv/DJkbt4PWyew/bsySrrXrMbTB+q9XzcVanUAe6LUMHGN7BQRy5Mh
VBmIxZRBt/x5U+nFobCVyVQAXqpqc0ziTsUdqSIeMKOQFh/WXEN/rEDGm7TkL7S826Q+QYZ26F/Q
lqo2LNVLbWAzn0aAXVCp0AGptGqu9UlWYJVoAJhryPuTXaw3tUobDN1oELUZXPygJeOqiZJtAH6O
z6L52bLq0dUEVfXMOI2Vuc1t5AZS72nVqyA8qnoc2CeIcSlKaa4yN+1ucJWb6ZJpvruBDoVSCFUu
1XzvzmR0Y082fCy09ZFGTPGpINIEP5sopmFQuusLTg9qJpOmVqpzxRbGRVAXk5vco0tWZ8Nek5MJ
A9sGdMVxnZFw8cju9IWqncN6p6C3641MyTdyMlwh2CEaw5+XZu5tUbHk895Q9BssEKhLo1y9hVxK
kESlwJ8P7GzAsOqYrT7DI28smCxosPJCsiSJfXrrvcraaUD47rk/yoPtFO1GH0G8sf/NX9KGFDZH
FPauEcXInN0klSXIjtO0edLljku/S71bvoCUcyoc4j9j9ImOGIizrMvgUvNR1PCLOn33XlsX6pgf
SRRQD8DO00cJ2W/ZAaJX5+SNE+MiBTJfHLa07Fw4EW+poutzD14W7YvYQLuiVxiMfUeGS8SylrG2
sjDYZmRE0suJfWTHvUHaQ49jiiZyZhGP4Wb5DfVFmF0kvqKQkJmC6puxDMyDrVpro7MQZRnJK5y4
1Q6zVwLcRg9fU1YcoPiGJec4jmk961b4UWcfuowodyF3aRqayg79rICkwp9tfZN6QbjSIwEqLQ/V
JVhQOuKOCDc4NsSytRm50I27UpgxZehJeMF6W+V9vmghkeFtwiTUUFqwgY/9eVXL/kWGff8Ggv2F
/V/1bCfdySo6lY6Z4edX2CmsTTu2RFfZYTjPcl0ebL1CBVsQDzYaoiL7lDahXZPjIRMeT7Xa4tws
nTsxSsRwQsZLgah64ZHJsAgwL82SAjesmZjZKqjbcI+PS141mqesCXxUbmmVNfgPNQs4EWIyi+bw
C6McoEpV5a+zYNT5Gtr0LjRz6yLUHf+oYhwnJKhrVgrZRQScJNatb0+zhIxH5zwSYwRSoMEuKLCs
7wbF7la1TZOhQrP8SWPIvHSUwjumIf0ZDOH2vGKJQlAVmZdtHsZzJfFgw5WKj+tDR9EknYzQNRrz
5nJMECOZMe2+uQilvQw8NVhFje35VFdSIa82N/a2U3VLrepJJ+8t7dZr3GBZFTC4W0V4G3MwYjKJ
pHZPIy9HVFzrm9jq5DZMvPxo4/DWZi22aGYzqhI+4hJqNqWMixuV/LxFL+gMGGFmz0BVG/c86Nhx
W5XD7iC0xNKQTrwLtdTZ2B4BN61fZG9OFjsXVm0mH7s4S4G1ZeqyxKBAOhkwabccjJUdeeo26wpt
YcSey6NmwGxHNTD5WLL+UKvNNd2QFXUq6md7jJZOUj0oXr4opRFcdoPyhKoRT7SfI9LOgFNbDo7b
MGfTUlh2PS+E2u8KqEbLykMuPuuNUC7badrCJh5mBBcGHbW0SeSNGjNRUI3RXGCZ8vgEjGMASnr/
RQCyOGNQ/imbnbAu7/dpE2vsu32aArEwwgcdbJjzMSPTSQhSOtdmSOyEKwge+QLcn/KxdEV/52ia
+zg4XXElgtHfO4MonzwCGplVUuBDMRT+OmiH4q7X3XGlmkoJyDRmTlS5yjHrKjzuExgkpqCd4I6u
QSmheCJ8NIC5KhQ1GYErxB+vGQoYS/rXe8cJlc++lfsLXelz0hiTegPt8L4ta4CJTWEuPUSjj6Jt
EZ5poL1AsucLRMLctLFpXhpJDNwR+b25SEtnRPts289U6v7aFDjAadif8s48tk17SwAl6TYxoF6E
xhiuxmC47trsABt7PIS0UKjA4aczv61ox8aogKxV0lcjy7ZfmS+iKWlBKcY0GB1SisIltun8YRRp
QtxE6MQssYHVHTzbHrYBk3syk31hXed5DfsgGSNl1bMcICONxavZquFL4Y3dojAUewn+VdzkY4y0
D+bWbPQsXV3mQ2ftES4rG1MAxKyjMS/nwsGnAINY7V+7un+sg7FkiGmGK6NKk5XZ48sit4OJP0OD
mQ5o4MLDQtth86gae9aajKnavMPbp43h1RhnPKHp/e489q/HEKIpMbug7W+40d1tj095K3DZb0cG
FcCzhvqtCBpKwVTKHsC6NFE7UC/IuVMS7zTHU54TC0Wd3Z1L7uRcfoupEucpTFEOnqcGIFEKzGMR
rjlVknikT5U8sk/WJmeq77VzpQ/Rl+7rVP/DimkO7rQniKfdAdZPUkNxigJq9BXnqo6ktipyt75L
pw1Gdd5rWFRmLEbTFkQ/70baaWNCL00e0/NuxZs2LrIKeFhbUszJ3HGn9LBSWfoBvkn3vOVxztsf
DU9tsWlKu0dWaWm7vjLd5WAU5B9UMReuG2PJ9Ul9PTFhEIQj0goUWdccjb6K1oODr4dFjP3WWI63
BcrURaIUN4oIw02hcMJ0AHw3mGyMeR5SKStDjdInpxTe2T15H13AJs2ovIZ07ajFUedQhiF8JRw6
8FVMf6VpzluUdkfXkfZ9yXcwzNRpyxhPm0eIgewjUQDEF0Hc0Clgk2lgO5zL887TOu9C3WlDWmh6
vC6nTWo7bVdbzfIPJTvYYtrKYonia5+2t7zJaaPLlreaNr/4eLtJacT0btoam4rvPMECeOoZ0nyy
pg10O22lx2lTnU3ba7IN2GmP06Y7mLbf7rQRH8578mTanqfTRr2btuzNtHnvp218c97RI6f1IN2x
zQd/oGwjFunUQzHeYF9JZ+25MxBPTYJ2aheYU+NANK27+K5X9yvARAMF2TtVoWYI1TU0ixaqhsPe
+SFTvnYR/RBcoayHxjF2Gd3bRngOmToE6whBnY7yyzyqxiQ40FyUtyZJkutO2NpTjV45m1e57b8M
XSt3aWIMe8XR6iPZwO4jhUF+rzvFoQ2zGjW6OxYUT/IGCy6IU0CNMd9ppE+mnCHeAJTGf+s1EWNo
i2j1Xe34GeGoA+9Kd0VHZeWN2alCplzyzLHw/I7TQkZ0NmsatHHWt/G81hnndS+YlkB3Wgx//4Sd
jRm/fAJRTIupzQVU8/0TyK0YTeHVdNbog27HR/2xPCmP5Y28rK/xdmVXSnL5+69o/JA+PD3zNBVw
5oTxZKm0f3hFSYOF5njorZHYeJ+wQKN5B7c1XMZ9OIo5lXSxr4ayQeYOgfqTZo7NsjC8+G2EVUKm
1hB6qyySqO+ETUW9HD2dZ7jICzTSI6EIDzi2rDvLdnnUWVlO8FNsYAkHVDlUm77MywP2JBIPs7Hf
UsmwPtFOmaG1vwF34qw7yk+aDSkZ8gYEoKGW5d7JzfEZERipu9JLtl1pOmuieZWPaSirA1Ko+Jop
l78XCTyYPT374jZwrfFkwPsAPS97uYiAR9wbvj6tX6lI/s361Hfa6frvZy21/5pPaLp3f1ie++zX
7Ws13LzWhEh+61JPv/lH//Ivr/9Kt57L57e79buAjMrf6tXzL7/26u0PrgnTjrHiD0JoR8fyqhqG
oevvddC4WoVjO/wDAykCHhgqs2+9eu2Dy72CRNrGAWBCoPpXevU2sun3SxYoVaC0KLU5nGFak8P3
+xpQTdXI95QB5rdm0LYmRibPWJtIK1uSJtYSvGd61gO3qZos6soKuRvqGAYDQHdfWyC4MKZJdNnd
SlW6+sw2QRo1iZJeOH07zTeD5oZQe8LutFwC10xH1AdDEm6CNs/2vKGUeE/0ItJF5kj8lCP7g5Wr
1Z5cpyy8MhExAZa39CBkvxvZiFZtuxbLKMiTG3x35oBkaxiYL9qjLpZQuTOgTDZbplmO4hI9KShM
4niiyNmobmYSSdp50U3XmuWmZFsUL7Q+ewRv27vz1tOQMdYxd6xTe9PIW2/v7Noi9FEoEHdnMtW8
tTQLm2hXaSF1gxeir0zD6lDR6qWdr8JRGvmi7r3wMmw0ZhdgX4x04dvFqO6o1KYILXh2LLFO7IHC
wcmmboyR/eDSq4yQNdaSVj8Pg0x5Rnrq4jNJhvAAgis6lXQXDriTDXVW5bkd7nuBym7hJAPOrlS3
SXOFE0JAU955zqMv8/YpEbEkQ7tt8lcBgvMtMGw8o5TOQNPHcLjoJTYtuG9uXc7a2mXqC/s/3miK
kEdlVLrrSK/Sz3oaKBHdsACCB95G5bEujYEkF2LJ87VR1tYRpywdF2EQojYbITWB1QCAcpfrSUe9
0ahNRfKcVeSM1h3tzSpUdxolaMkTri7dW7UKHkJSHkcI9ZhEaCEUDAZwncT4QFpPcfdaWBQrrUCI
Kqp6EugpxTHo6GDpTU5MVOSol2WPHWwG1D2Vi8Q0gRSYaXFS66a/xAOjt9gyB1ImCjveKVUjlkRS
FYjsCkRpIbsaiADZsG4MWCa5qQ0rYnn7B3vw4Jn5mYsbJ67v+yIPHww3YnqkjxiBHHXKE/Ga8VbL
+/6I5YrA+QYRSay58irSWPWT2AzRfpbxRathVG45FuOwHoaDhp4Jd69DQyyDPVLzluRYieWghARz
0BCbFLbejpC8fCPSwF1lupUxkA/S+0pD/5c7+kdLZwiEzh3vlVvMym5PJcGVz8RqQJaGasrtTH1L
fl4xl63qLEInrPelB+uE0FE6zn6GtbBt+53eZJN6buzmpWox8bWIiSNzwuD8xwIwuoar9FoXHUKr
jO4X17q+LkQESC2geHtzpNFct14hyMs1tdvRl+M9IlusQLYz0GSKShvmZl9k9wk7igcjj4r7OG/a
N6bc0b2tmVsywwhziTl2pLKrnNeE2h0HGLBPpUjr6yw1tBO+MDOfl8J2bwVZp/MsSEJ1HqVscUiE
G0ih6iM9Wkp9oDXM9PEkx6gZZoVSGx+FKOkZdIRzVJIwvd6P7CtsHdZzREm/DFLTwwBu1fQjHRuN
ahFqW2rg5MWuPfpVeakK4gIVc7iK7AxdGcyq4k2EpXY/XQh3+miPb4EtJcgPqSYfR3oL10PaT0I7
QC190KTVnEmG5HMydF8kgMWfdJ3txLo1+sxcuEniXUJGbXcDa8SNx9jmFdIV/lEal8MDUJekmdUs
zRsdIC/GKd3T3wgHQ1eDCx7fcx0L6651M5TOLbvAOWkoPrWhn52syuDuZzNbkGRDHI0aWp1gPJCR
J605/YF9O2BDOHHjqi8a0sTxAs4MLHuoedmWMRFDt0BBtGIfgNiDwJ1qRze3JLYlYctDEGA7bhLU
xyW92KCdqlX4SdjjkKRbJjHgTiPqG18k5ToE5p/PurCtbwlsC5eWpZcMbvFZ6lbi3fiJYTzRM4t3
mTp6z4qsbzFP9ofIb0k2KNQhusaWGKdAkeJwhvpdoEPU/XZL1UoGiEa86VZDrn6wYqe5SMo4QIIK
ZfkqNnv3EsAEO7BoVFpORGKM19KqfbkRYdPcIqFJ7oLOJ/M8UuSy63x7z6hVvaadJnchheQhEcyl
wrhNUWORHbmM4969SrNh2HQ59lg2UXBeZUvE4wzCYqggJWwsZYW2IjTn2AZKvHuD+GgFdX7tlxHF
WtNZO6R96amvS/eEqJCUb1R/0Pp0vXrRmsZGVBmKu04LneVoZPbSKQMHT31VfPY9X54AelOs+7qJ
Oz5WmGaBYpLVBuobxtqwSRB1atkb0W1VTKfadgA9NGir2MUNC2GCKmLElR8iGes4+KczOuhknNrS
JHVkHGhUUPVfExGk4AxQnbRYkYvH89YpXKZ/qN2nICAzJTlddpJ5bkKDIEiFR2rf0L7pHXjnKy1u
2UbnjhFj6Ett5muhEdGUCIfrCsgAT/aqrq6z3E5dsgTdGrViZBN7R5P0gOCr5OHVWfFlXfc+3uA0
3wVmDf3OoBv8YiNsBA3DllCde7oe7jFPS3clRKd+tOwkvOeZTd4LYVgNsxQ379hjKuYelmixdi3T
/eiCHmWAWiE2dYi9zeaxaJV9Enqjug27OrsjaxP4DCovGHelohr7IBv0h7xQ4dQiityGNZSiGeww
7F9Tnd7ktrjpVUfsDDeIV16tku/o+Nhb81Eex6zmhLgsujPFbpoH0y3zt8DpxgdVVtYatGS2rSHW
LJiFZzeuVxoHuyK0cuJfWQ+NqKATNwABXQT4Bml3+CDoBhPseAniKn7IMc1hhuacrT06Lkglazc5
uEPrPLkjJpQ+tB5VIynWgxX3C6EYXM6+ARSjKow7BUztNkCXSR4O4ggGskggPzL/Iqq+wF65ZkKR
PGW+Ku8FS2cxi0RV7F1EvsugGUEQk8Hab0SfBDsrzNvtMCjO1Myx1p6nrMJWp3OlRBHhSqHsngcx
sRbD2LDmaFnjJ2eosrOMzNlUnupc6qh5BWNytXv1zJpUyz6aVxRGS7UICeTR61MWFs5GSi7/lv3/
HqraHXCWai3d7lazu+KhMpJq3RlVAxiqc1ixos5U171S56xNiZ/chlwmD2WvYldn5rvBnNOlS+Ag
IQR1t+t3SPbJaM/bovGXKC+NR7duhk+FzdyBGOyQuZRMiMrh8QORHZ9FQTIRxtBqrvoJ3V6+5pGk
zNasWbaL5CksLclJdJFZDoLH59qblNZj0MbH6Cy/dicldj4oytFCnI292T76k147PEu380nF3RoS
eMFZ2l1MKu9i0ns3k/I7mjTgEdbola8GyNzCTr+TxtbjlMNz8WZFWpsXdarSFFGlsZRpxZjEBb5r
Z0G6TTUVuTWaxGPtNMVCsbRLm0CmS4tSGdy/Kq+9SbIeT+J1xAjo2BuNZ+xMnvXtdintRTeJ3ttJ
/q4xfjn4ZcoMRKknkTwkx+aiGikWZxXbmXvAsxM07iyuF0OmAKagQETeXlnOQp+U+CVrHU+wwbwp
bCZXC72lSlxpZZZAeFYclzCZSdfPBNi9lNhJjr49yf4xOhBd3A09IUSTL6C2NOujk1jDgVh1bANG
1ln3tZWb1yx2TG3SUg2euIHVlT7IjBL6bD6YbAj2ZEgoYhObCO9TLOi1ODvBB39zrS5F+iJ9m+42
9eY2gwkJ2+tsekA1U5M/OXkh9HqyRaTAJDNWzUFTFm3N5H3mo/FHbMf4BhuY7+sYzmo7XKIdMAXq
RUM5TRjg24wEHtKkqNkXBXLAKzh77RMJYkMB52HILlrHZmDuWGBMSE9Hq2l06pVTW8lTTRejwTwW
RelVnQWqjkq1TMyFGRg4KYhK9XCzdL3EMZ4FTF36gjknd4SLm6ET7oMHl9WbdbaHWidGd0vPjXY7
CbuJQe4d7AgV/8WoPdQ13e51Y6nOHhal7Bk5+eHHXHHS4TrNK8j/TEyNt7piorYu6DAPK09tcGmj
xyEyh5lhHVw1usGWI0kIzqZpqY089Ejv5Vk13HDPkANOBms/b4KRWoPVfw/WeVO1abbvHd14YFky
b6ycx0EYAdrOuqG57QGw0MNPxgc5+raCySbswUbkET2eQE1QW5QWYNfznn9qStCE+Nr2oyvxvcH7
hz/+/S5P+e93TeD/a1bxrx/kV3skXz7H117LMQ+z5i7/RSPlD/3S962YXx7oDzdd6EWY+o/u8/Px
zm2f3ztOcmrCpn15/dtfceY6+LoJzkLjCLbD//r/bfeDqqJ/xF7unn++aDG/O0G/fOe/bDT9937n
9975l47U9uVvfxWEyf/spxfqB5O+AV0lLM3nn3cnwcEGjTDB0DE0n39QZ9Li+vefhM+QvJupk0ey
e/aOGTe1id913X7jAvjhCP+8AAQ5Egj5dGaHv3YKuA6QiAt0sF/OwCRQ/V85BaeXNESwRT5Z+Ll5
dwosRl9/7CT8cIx/ngTNALOASthgY3b+Qab7/c1gfdBoQxNahNl8+vly0v/918EPH+CfN4MBJIJ2
5B+5En44xncnwf1gmETOci/81klQHZdr4cs5cP98V8IZvGgQvfVT50E4H0jMRRuDWvzXLgb7A4Jt
BhGm9uVEfDnvf6KLgYgZ7cuX8+W5PD3OfmNZ+M2LQegfHJN8NnXCNpx/3t0RDo16NPMuPfl//PWf
a1mAj2n97EnQsA5oFivfBGT5fj1wwGPYqoBy8WdbDW0XaazOsPXnbgHxwYJ2rgHZ+NVbQPsAOk6d
LrMv3/6f7hZgRjrhdX7uJFgfznMeC4fI+Yez+v1FwB3CUghQ9es68KdbD3mmT86Vnz0Jrphm/t+e
/++fjOBgmKudC4gvV8K/8GT8AyvmP8ppHNfJy7naDl/r76aa/+UvfKu1f3mAr1XmVEpqVFHvfnGK
Cfty6C+P2OnPf3+3Vp6LwO/+8ltReH6dr//86wf85Uu/e61vn+rb/9yEr9Wp+kwg43n4+vVtXp5S
qvX/l70EJHQeq9PLax28q4JMa5qi/va89h9Xwe8ev65P6bfDnItsbVLC/exhZyHT32+HmQ6LcIKb
6WcPuzlVwyk7fTvQ+ZvEkMFi9NNHDtPT5+CU/OqZNlSdEuNnX2J3Auvzl/84pcV//mV/QgAbvjtD
1JpTlfmzr7I/VRlP//j9SfpSMf/0sblOkx8ObEyU6J898OEU18HpRb6+Ft8Odv5ubXcKMP3Zo1+c
XoLh1+8hjv8/cLVfvYS8/W9v9HwXfdmq/uw7P7Yv7efglRHSu4NbuqZ9+x/TyvO3v75bqb57APze
rX9ss+j06dtxzu8aWeD/wCV4c4pOdYP0492xvzyff/aM3IZxHL5bsHQVNNi3V/rvn427UxompCC/
tN+ONZ2RrzXlz77rs3P115aWrw/snz3+w2vd/OX/s3YtOQjCQPQqXKHxFzcmGhLjgh0XqKRBDEIC
stDT+yZQkkGQynRr8JW20+kbZjLvZAq0mGdv34YFUvRIw5nDYT0rZuNdBCpFPzd3oLMAv6e0YuyS
vTHhovrQLtFyY8GtrB+6aIWzs6S8Qjr7UlN7/9qCk/XgA4JSxEql8zgizzZ9PUGFBVWVPhxl9i4r
TgcAjVL/vYcbNkYyEb3m7GLQ+nTgHk7vXzrmQso0o+QgRI8oP9dwZtDKS3hYpsik4Dj6NdwFlJeu
PJDJ0OS3bLDBgKbvM9ITEPbnDXIrFq6zIRpC2d+WH+rZzq3CnXXpxSkcwqFDgnCE2apOIX5s4EXT
IcffKpv6kNqRq4CzcBrj/ijAvRFMWvIOnBFdfyEls1YbROCK+u7+nu9YvNlnK76jUJuuGfsbD7Hp
iSQ3ujp8AAAA//8=</cx:binary>
              </cx:geoCache>
            </cx:geography>
          </cx:layoutPr>
          <cx:valueColors>
            <cx:minColor>
              <a:srgbClr val="224FCE"/>
            </cx:minColor>
          </cx:valueColors>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STATE WISE SALES</cx:v>
        </cx:txData>
      </cx:tx>
      <cx:txPr>
        <a:bodyPr spcFirstLastPara="1" vertOverflow="ellipsis" horzOverflow="overflow" wrap="square" lIns="0" tIns="0" rIns="0" bIns="0" anchor="ctr" anchorCtr="1"/>
        <a:lstStyle/>
        <a:p>
          <a:pPr algn="ctr" rtl="0">
            <a:defRPr>
              <a:solidFill>
                <a:schemeClr val="tx1"/>
              </a:solidFill>
            </a:defRPr>
          </a:pPr>
          <a:r>
            <a:rPr lang="en-US" sz="1400" b="1" i="0" u="none" strike="noStrike" baseline="0">
              <a:solidFill>
                <a:schemeClr val="tx1"/>
              </a:solidFill>
              <a:latin typeface="Calibri"/>
            </a:rPr>
            <a:t>STATE WISE SALES</a:t>
          </a:r>
        </a:p>
      </cx:txPr>
    </cx:title>
    <cx:plotArea>
      <cx:plotAreaRegion>
        <cx:plotSurface>
          <cx:spPr>
            <a:noFill/>
            <a:ln>
              <a:noFill/>
            </a:ln>
          </cx:spPr>
        </cx:plotSurface>
        <cx:series layoutId="regionMap" uniqueId="{951EDE12-CA1D-4CC7-B587-36759678732D}">
          <cx:tx>
            <cx:txData>
              <cx:f>_xlchart.v5.6</cx:f>
              <cx:v>Sales Amount (₹)</cx:v>
            </cx:txData>
          </cx:tx>
          <cx:spPr>
            <a:gradFill>
              <a:gsLst>
                <a:gs pos="0">
                  <a:schemeClr val="accent5">
                    <a:lumMod val="60000"/>
                    <a:lumOff val="40000"/>
                    <a:alpha val="53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5">
                      <a:lumMod val="60000"/>
                      <a:lumOff val="40000"/>
                      <a:alpha val="53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dataId val="0"/>
          <cx:layoutPr>
            <cx:regionLabelLayout val="none"/>
            <cx:geography cultureLanguage="en-US" cultureRegion="IN" attribution="Powered by Bing">
              <cx:geoCache provider="{E9337A44-BEBE-4D9F-B70C-5C5E7DAFC167}">
                <cx:binary>1H1bc9220uVfcfl5qBB34NTJVzXcm6Ik3y+J47ywFFsmwTsBgrdfP71jJyPhSFYOKjU18Usq2trN
ZjdWd6Ox0Pr3p/Vfn5qba/NkbZvO/uvT+uPTcpqGf/3wg/1U3rTX9qzVn0xv+y/T2ae+/aH/8kV/
uvnhs7ledFf8gGNEf/hUXpvpZn36P/8GacVN/7z/dD3pvnvjbsz29sa6ZrLf+ezej5586l03nb5e
gKQfn152n/X10yc33aSn7f023Pz49M5vPH3ygy/nP575pAG1JvcZvovxGWFYEsrVt39PnzR9V3z7
WKgzwgmmBMVf/7E/Hv3yuoWvP6rN77pcf/5sbqx98u2/f37tjuJ//lTb/vD1nQ/9ScXLl7+/0w93
bfo///Z+AG/p/eSW2X2TPPYRqNrq7qjtZPSnCf349MU1+PbalpPxjH/nF/9L4yN1RhmOJWHqq3XR
XePzMxRLBeb/5hrP+H9Rp/tdcOfLd14CXvbi6QPL7v9L32SuAt9Mf6zMr6C480r/pV8AFFxhjgTF
9/oFnTElYo4Q++oY/sejv4LiL+hzv0/+/OId5X98ml39o/zx7Np019N1/XcihZ4JFFNMH/AIIIUL
hRghXz1C7nrkL2l0v09ufdXzyrP//Y/yyvGmKfUfZvkbMCLPOAVzx5zfixFxBvCgQjJ0L0Ye1eZ+
b3z7mueJ4/N/lCdefda2/BvBgeMzhkhMKeSRr//upBFJzyiWjJL4W5bx0sjj6tzviz++5znj1dt/
lDPeX7e6efLy+rP7+7CB0FmMOJRMUt7xhJBnNBYxjpn442FfM8ZfU+J+N9z+rueK91A5/YNqrPc3
zXVXXHd/IzSQOJNxzJlCnifUWRwrSRX7VlvBx19L6m8O+SuqPOCP//tV3x3ZP8odH27s9CS5AY80
fxjnb0gb5EwyRlhM5b2xSpwpgaDmhWD1Ryi77Ze/qNP9nrnzZc83H5J/lG/eXlfXdiqvu7/RM/yM
Sco4R9+KXnw3doHjACsxV98SupdF/pJG9/vl1lc9r7z9ZxW+P00TNBBem+vPN7b8Wz2jMGGw3/ha
acXojmckpH/Of9/Ff4WMV/z+Za3u9473dc9DP73+f4ubh7f4f3Y5jrD3SH9vj9za5X//09/fHBo2
3le/12X5GpUuP//4FCEw+J9Nl5OIO6nkTovkz9+/Afj++FSJM4qQIBARKYcNDFdPnywQdn98yuUZ
UlA7yxh6AxLHBHze9WYqf3xKxFksBOQ0DmAkUPPRp09s704f8TPBY0qUFFhQBC0d/Gcv6nXfbEXf
/WmHb///pHPt6153k/3xKcgZvv7WSc0IIyqoYEwB0odP12+hzQW/hP6Xzde8r7XiFyU6KvbKzoDS
P9//v5B7et4tuQrrmdtmFenEyqZM9n3bPpSYr1/7P1/bP/+FePDKbfGViOptWTuRlmY05u3C97h4
X6x7/+X76sPu/l6zQHy8LV+1ey1dnfNUYWb3NwNqVZyUpGIoiWnc4oSSccrPv/+wh3wA7r/9MAu+
r5ai4+lqiSSJjElhkn7j8tfvy4fC896Xie/KF2qMh0ptPHVooC8QWmj7bomrmD/f5NStWSR2bpJ2
Gwco9wOcL2Gl336hQcbDLE4PnBsl1qu+dLk7UOtKnX7/ASdB96zaU+l9+wFS70s8OcLSpbZiueIb
yfFhqC0un7O6rPAL5GpXH0Y7dptI4oai8TzuytlcfP/56GS6+xQ4mfrW8h5Ea2tmN5a6opjHg8Qy
EwR9GWoyLnUyFsvcJm4T0fN+KVCdOtz3skuiQuIW9rchNj6t3FsaNMXWzg1bwAQSswMx/RfBFv3I
+z2wIqUXFXpA6iK3iaXbZsUvcb/1ST676lWY6l5saGSluSWGpTXR+iaGPvzzLtK1O4SJ92JDHy1s
GEvG0mYS889oGWmy5rsIizzSiwymWaphwCNLpz7a9zReo9kc+dD3IlB9LxrgtUByayqIBj111WHj
fKXJOAKUjt+3zwOxjXvgadW8sMoVImsbO+ZvRduO7mcy7iq+mqJSiTeQWwi//P7DHlpJXuzB1RZ1
vR2irOs3wV9b6JZMP7fTFH0Jki+8UGNl7OJlZTLbe9SmW0Ejk6y6tuYRb5xW/D1AF56xVF/TxuEt
z/pI7u35YtAwp82yIX0cdUlV4GO8eEJon8tliEQ2TQ5PFx3vuzjdO9Ss6aCnZQ3DtfCCxtjPY07W
VmYDrvf3tdnKV53g6v33ffGQrbyosdSrRAvUOBmOVp021gjyvKBbP36omazXR0z1wIoSp5/fCnyl
LIZaikFmpqHbZdTu8StVINMk33+Jh8STu+L7XG8xGIdnTox4TeJqpR/53g9pmHgvfLhZ9EJCnzWb
G/DA1BRtSl0khkDtveDhNOm2ZqtkRu1cgw82uUaJjTe9Bz7Aw3OtIjaqFayvUDt2lwNi3ZKaSuzL
6yADnark2+4VeCMWRSvPlC31z0Ja+3rVxbiF6c89oInNQJsbenbZQOikL6adrCop63aJwyDGPYit
ehv5hI3IalsM9NK2eJZJ5ah5LDefIs89EYl7KNuKqojbBVw85ttgjlVBhHjdRvvMr4opb+t0LfDW
/dK0kvzqumLpHonkD9U83ANesxa56PcFQmEjm+GqjGwuoLKvFZR1cloqOiXdVO3zQZd8aM/rdS/E
kdOF9O/meOIu0MAeQLecR0LWUZ61InJHoheRSdGQR9YHOiHlPvPiu+uPzdOqRzyqjMS76dMd5fOU
snzfm4tBEbG9KmzbfxkiurQXdJcde7kSgrsXWEhZ/SJrzNgjqjwQibiHZdlVbOgXTbNB5JYc+K5u
hnVdxrA4yj0kN4ZwtK2VyEw0LFkxIdokBZHF5yAcMw/HDhkuq6qgWTGs8iOD7PbSxlEbFkbZCRy3
ksBIiq6KIqEy1sBO5uCQbPfEabPZR1bZAyg7NfFvP8DqcWN4NTKbtiXHl5IaE/+2DggQV+Iy7pNO
u6FN8M6H4tPQ7haHuYV58YMsXQOLyPCMy7x1yTBi2yabo1FgBGde/NjpXo+OG5G6kaGUb3Nx3Hkf
HcPc7gUJnqu4q8Z1z6wrpmzvRJVwM1SPxKAHIME87MMxTBmtUKpmFdbtAU+oOuZbjwMXlQd92PX0
Eul+zzDsG5O4RB+6gj5WSD6kuodmxIeOrk2xZ4XYphdu62JIz2OJqsB148G5rNw0ELPtWZS36hLP
a33MiaRZkFuph2YyzGyYapA+5ZgeFiJsYlukw3SnHpplh3c5C3BrNOHyUBM3J7wWNCyOUg/KVRyZ
eMntno1IN+dWdcVhZnQ//75lTrC5J19QD69dzsp9R9GSLRG7gW1nPZ/TqR66bFoED3wDD7JkFnNX
1fmSEQDuWzX1VYpoX4dtx6kH2amDUmjZ+ZL1cGJwKRVzx2rrAsMN9SCLprbJ5V65rLANfaabVrwY
1iZQdQ+xkKjzukZkysa+ytHBMGwPolzr8vh95z4AWuqBluWFraMd2jxDp9ereiqm5y7Pm0BQeZCF
/mg0I1dN58YVi31Hllg2r5iRvAxbN8RDbY30PBYzXqEkdPuhHtjHTW3dIwv/AdsQD7SsimoqZT6n
Y1OihFiHk1EpF6i6B1oyVBTnlZzB8tFHg6G+69Sah7mVeJith91EkeXfVKd4xAmbeajqPlqZzJ0s
0ZyqBZrG+CTdhhvm5I5blU8dz0PeWJC+Vqo8OFm7hHNcBZrdQ2tJmeyB0wDSKb4ZNW3OC10EdraI
h9Ya2LhSFyBc7a7NGqEM7Lz4GlYbnA5RbhtmnYjIm62eUzblS7KiGSdoyKewFEU8rLblgLuexC7t
5r1LllLfuGpHYVbHHk7tbqahLxeXtnVJE07Zx2i2OFC4h9M4Z4ZsZTSlYoy7o131tXW7DRTuwXS0
aq2gEnZpxVWZ8Eo3iTNYBEr3cCpIFRU6UqC6cuiFheOR17komrAjKuzhdHUUdxQkZzsCLniyd5Kz
YzRF0oatGexBFY+rat1QzNlG284kERlYNix4+hSUnLCHVaRzbPq1hcya2+ZKVRYdbV1taZh0fBdO
zuQDKTbmskmRX1GF31hK3oSJ9pFqt6rdtmjKdBm9hPD4ccMisH2HPZwqrVuBOjFl1VLKoyvZ+77O
+zCHIg+nXW0jo6RzWaQnfWgq8VzgMQ5b7CcS0+34BcfCy2BXGaVds37WG/qAWfssyODIQ6nUSxFB
vt4yEGunZMe25MlmSREWepGH07lgrqypmTLgLMS/0AniQGL1jsIqDeQB1Y0Njpu8d1nbm/3Yr+K3
Ug95oNk9kOZSj2LWxmVsM9uhbQdQvX7s5PUk5J7NwYk8cNunquNUD1E7ZXDar15IW6AXTZQPH8Lc
6kEUT3gycKcBlmOZlwlpl1+E1IEu9TC6015VeVm7zLCZJEiuH5tRvg7T28MoXei6aAKyo8q+p257
wah9ESQ69hDaL3leTKSY0jiPokNU5c/1Hgf2B2IPoQgNg9gjHKU8Vq/aTXyUZmvCQkvsQTQqoU43
PdikKbs3fdGf520ZFsljD510WDayQk897ff5wiz4GWVhGTT2gDlsbOL9AHs73hbPZb9mncnDjllj
D5a6mdbSOVB6aH/aZ3eoxM9hK8SDZKMqM+w1OJGW9W9mVW/kzsPiVOzh0Y1zvW4Ln7LNVuj9vk04
qxyxxzDFPUSSLl+7SqspsxFQCXBXX6hc/RIm20Nk3WjL4E5GlDIN1W0U82uqSFhiA17h3SAIC3sc
mxhScqn5mjBLo6NSYg4CDlUeKKWdxUTZHKUjf2f6o4QudohNqPIQWRblSMdymzIngcyxEDskaOTv
w4R7mFzg/H3butymqBwulgbO9kdSTUErBXjPdw1unIvrqAHhsmGviRs+abqZQKt4uFSUbfEolU1N
S14zkL26OVS2B020aEHIiqBtjEn83MmiuhrpygOt4qGztHRuoJ6FhcJ2nuxx9VPDy6ACiyoPm6ty
dKkVIH8l21QdYprz/oihAtJBoYUqD6DD0tIczmqmrKDDdbTMH+Dw4aegpeiTtWagZxtOwC7OFew4
ulonRGIRVEdAQ8hbi+UsoB+9guLr+tr18dU6j4EIlR5Cq1bEVJTEZrImLxogHKZSCBxmcekh1BUG
OJdunrJ4aN7QqDlUpgwqUqjPrjIs6raCtDbDmOHD0iJzQLT6EuZOD6AbnChY2U4WCAb8Y2HXKy3Y
uzDRHj5XM+W1xJHJNtQsSdOL8bxrqzBmBPWJVT1bOjUDfSeDI6T92O39S0Fs2LE/lR5A3YBtXaLF
ZD3QX5rEOhM9i+Z4extmGQ+eS0QgKlIHHp23zxYquNXK34JE+wSnCRJPOfDeZjUv3q7DcBm3bdg6
9LlNcy5rXjXUZPs8lum8FPgYNd2nML09cOqd5tastc1UORxqur1s5WNl5ymP/eeuivospiWCfvA8
CJOV7cxcYgSvXox8WJOlwm47hOnvJVFWd2tX98xkjSa/NiX9EA31+zDRHkRXYDw2XOQG8D/bi9ka
lKCZhh3VUeGhtMAl04ZgUJyiD+0cdQmNhp/DNPdz6DoOtYlLmzGs6ZLuxG006WRT1mFJWng4pWVR
SCcbWJJr9Ea3+L0ew/biVHgYbTQbYcMMovNNvZli/SonPOgYCsYr3E1yjdzydpw3k5G8xVkk8fQG
FYsOYvpSn6+JxRyzWcNKzON9SzYzZoQGEsaoz4dq1zyaVluarJuHOIlncT4uRVh3GG493LXLZKhz
VIHJITw+mzf8rGFrGIZ8FpRaisZVY2EykRddIvbtmTI67NyM+kwnBaskXnFtMtTPrwkan5t4CtTb
Q6fRcDrBl2jMLJcfNDJvmnoM2sRR7oEzX2lbF0NlMg6WSRSQ0JNxa2VYPPTZSBOpxqjq1QjnNuV4
MLh+4yIVVoL6VKQ4hn1Wx+IxKzRpq2SBRkXq4oiHGcanIlWVAlZatQFu1NYepOP8baPjPcyjPhVp
rhjPgWs3Zrsy+IAsfQmZNOz0nPo0JBd1smdrD8ulVzSuIdZutS0TqeY6qIcDJ/x3MQr03FgVawe2
L8pFHDponmV5TsewcwTq04222jlp2nzIZGTr8TAvQ/vFKbEEbhoZvas/anFMFxUNmSk3e2wLXiVg
IXYelPB8wpEQ6yrjOR4y13B8iDnwygnsfpMw6R5ipwYYeJZ0Q2apKKYE7bi+rre1KwLle9l01Yab
ZQXb9GXVJ3pqf1obFJbzmJ9Ocb+0kXBg904OF5uN7fnS9OVFkGV8vtFMZrINzTJkVc72D3GfFxcw
f2KowwzjE44IxEmGN3Cr6vLRngsHQ5MSlvd8DHyAV/3CYVzdd8MMlid2uTRG/lSOTVhvnvqUI1G3
GDjGZsgEnd7pwr5Z6uldmN29qrfIt4U0TTFmolO/dv2CkhJGUQQaxYPqCC1zGbl2yIip5K9wNXy9
cHU7By4ZL7NOcbRuO2F9BkhVCQfqSxJtkUjDDIPvhhmzRXBG34B0Nm8uYWi4qrvHWEy/l6D3bGh8
mtGoV6DXSdxnM6+LPIHT4gqCjdBrfShaVdQX7bAt71xrm0tiScSzqSxH9h6uuInxNfT/rHmnRMsv
ajiX7C+quqM8EY2GZnyxjjJekp1Wo/lpGXHkDvE2dvV1X5bReOBQWOIjYtBrT8XgVndsEHTJDhxO
qddLN0ayyrBYS3qZ99WyHVAM3YRfImD2bueIVFYciVhB5tLoaT8vRlVauG2Hd3feYrzuRzu3pPt1
FZTmryfKo+o3i9g4ZnLHas7MCu97HKadpVU8M3noBEb1gW+icBcF6gv1nMsO7oXF447fYamWZMbc
XA7amj2LeyW386VtZnqcDS1YOouFQgu7KWd6KJqh7aGeVWo7SKOJSNpeG/Rs6fJKXTYETTTbwdrL
gZF6vtz3qH1pujmmRxrP855Uucn3dw2qehFWhVAvYLYrdbx2pM84K3vo+kQJLogKg5bP9CI036CQ
bIas5O1NTut3udBhevs8rxlOYtYGg97M5ZlVzVXOUFhzkHhRks3ATEHQQcqwUmuSR6pOVIP6QJt4
lY2JC8JrOLTLClxVyVqPX3hlwoo+4sXJCq63zp2I+8xtbngJF7T0RU+mNiyUES9QllzHrsPcZoWp
6XMK9Ssw/930MSiUES9QmraY53mY+6yWhfvZyHGHZn4np0Cze5Fy7PQE10RUnyloKicMV8/LvQi7
/AWjCu+G4RggzKgc+mzrh7w99vFSZesY68Bdjk/zQp1Ge0RgRfKiZWuKbef2RESsHo9BxvepXlM7
LnlUTn0GB1VfloFesciG3eiAOVB3jTO4xczjJvqsjBXwyCYr1uZAVIW/hOnuwXVm405mh4esGdUu
E9GPBM7YJcZhXAyKPcQuQ9egeC2gQIAJnIkTS5VqrQMLBJ/vNYglr/YCUjic0ZgDMMr4YYiWOAsz
jofZJYar0kx3PVx0bZorTmY2JXw0PIzfT322l626AohMPYThzomrsiPxr7Cn3cJawdgDrVjbcW8t
1KvQylovc5q7TMSTCFz0HmoxaZzSp+xU6bY42GUsEje1bVjA8SlfyKDVrbBPzqKtIzclsM1v9ta1
YcxP6pO+GCZdVVb1kDEu5uiyVh06xPmysEfODh+4V0d94hdcN81z3sgu2xtEzPuh1nN/yEWHh+Ni
++g9XDh7GUWqqY5QxdXqUCjYjJ6XEWN9mPd9fhjc0+Wxq6D+XLaxlIeorWAARVt2QxO2jfYJYjwm
O+xZTpEpn1D+rNUF3Dvbxm2Kw7pTPkVsj52BG6+4ywhBuk7WpVpoUtV0DiywkAdvbvfWdBgesDkM
tOXdfQD2/qeg0OGzxJqp3Sbl9i4bTGcPa0G+7BMLVdxDdjHuyNpatBnUtucNrq8wtmEtgN+vUN6i
ordRFBcLTBDJJjrbQx1ROGpY9rdhRvHK5alsTIGWuctyZ2TqSlwkLdOBqdLniS0C5i934NFMmzX6
ra0W8slEkG6CdPeJYraiXU871GZQa70U8/6sGYtHZrmc1ts9W0WfJ1ascM7ITd9ldsXlFWqMTGCW
9BKWxHyq2FJzLeeatBmpZV8klZTjVSlcV4bB1CeMUbX2hHdxmwnWVYdRyYuaoi0sD/iUMTN0RZEr
3WWKlstza1p6EFM1v/m+T0+V/X2G96pmtdTbvCDI781ORyj5Y1uotIlR36ccdnVdUI1FfO4OTP/I
82EyTbYb8Rts1F+0ovzw/Te4f+mQ0yip22RUOsdwNAjXseCGYJ9XyWjdfLOQMWz0AFGegTTUyl2Z
d02mBplDd8fKy5YzFwQpAsOu7ijf48qtuwHl86KEPT7CQwIjJcLCAfH5O4rvYmMWmh1omdB27DQc
/h6qrqvmsJ2uTw2UG88lJ0WfxY5MQwJ+qE4RM1b9McS59DQ27rZz20jbcVYaQg7D79wUvy1QHmR6
GnuRGGaGTDI2oDs0TdlRGzih2R3qglALI53vKt5BjIlqIHumSJj87bxFw7uuZGGX1GBY2l3pje6Q
i7FtTqlVvhlawrJJMxlkdOJTBAdoGsV5e1ryJTSb+lG+iWihAw3jbYbcNnWb23QDxA+YzHWAO6Xj
x71R/Rwo33OrnJd8gMq2yVDJt6Ms4vh1D/f53oasRzgTuWv4jWvocC1jdCxQsfZXVYzilxgPzD0C
qN87Lf8Zj4lPLIN51Xjl3EE04461r0aEOneh63k057ARc/gcZulxexxZs/bPow12Bc8HUY3tR4wI
PXcc75eCRhtL1J47mK6wRXX9qu3Yig/tOG76sBdlvv/W55t2590AOffgWLV+Ii2lz+ahmq42Xc7n
JHcLiIAZGGUSt5ru70sE91ve1Kc5Fe87LQd7hA0b3eFTsxzKGJifL6uhjPYj/LbVLwjO+zmokCQ+
IQ54jSM+XUhOixxVL2dVq+dY4yIswRKfEtdHNeuhO1pneI1vOB7fKFS8Dlsup6x7q5SEvebWRnyp
M7IDz7bB9BL39rFBGifE3LdUvMTnXNQWu13rbBxgVselsXuzHNUGrIfjAjuE4pIr3pQfw97ES4No
VIzTmdVZNEQ8pfXSnO9DU/wUJh3ftVO55Q72iKTO5p6WxyjfP0wVfsxOJ2PfZycvh6C40K42rs54
4/Q7YFXTV7Is1uu1QtEjnc2HHuEFnThXosDDWKd2JTU/ltNoRp3MBprtl3qBG22PbKofcLnPmgN6
QuFm3hQp/PGTuj53bEXADouaVLe7xAdgdId1lYhPoitK6J3kpgGjdTgCohv/AIEosKYSXsctgoEj
0Ajo6gzBcdxElvOJoEcC9AOe8El0ggCXc4c7uMe6GMV0qRrLznup4NyfF3MTB7ELiDg9/RauGcjm
WosIxnTAIEG46178okYRdrWV+KPA7KZGrTdTZUKw6Rw41zLJSxS2WSE+kW7W0IokDpWZppKeD/PW
HqXSQfs4Ijwgx3xATSOa/IhmfRXnJKE9D7S5B+ONxI3tJxC97zTN1Xjeahy0PyQ+h26DQWjaqjo/
1ho/Eyx6NvKwLh7xOXRAKzwNwtX5caiW8aqydsoiRt4FhU2fQpczUc4biWCxo8Kmw2BosqmGnodJ
91Aaq9rkLI50JrQdngHr9cNYbGHDYYnPoSu4KKIZO501G27OnZq6i3hswqioxKfRRdsK5ymt0Zmu
qvE4lPJ5JIxNw+zi5d21ikdnSa+OU0v1eo7x8tNg6jqsqQh/uupubCl7NY0N7dSxm8eXddNnlenD
krhPpdvKdS3aAgqpZnI66VwXH/aGPRJ5T69/T5r1mXQzsPN3uOEHILJznwBr7DBwmCgcZnMvwe4w
pMfO06Dh1lK7Hbpi6MckN50KI6TBQOq7RlftBncuaqbgolW/40Q2uXnWr7UOuwdJfDad413eiZGo
Y7vscGb7BlgAj1jm91btPXb3uXSU7wiGUxVlhraIzM9i3TK4YFTALM/3MCmpzzRTO0nEOLcs5dBd
Ww7jVLMZJmQOfDsfnYrHdB9Qga9bwfCc5ZJoEdSBJ9TLk42ayE4ks6kWqzln+QQzhaM67FyN+BN+
yILJ3tSTTcnSlsCymN7Dlcr1Ebs+sJx9AuEajQhGhkynnZ6ZiktNYunS0ta2OwYtaZ9B2Gk9cYlK
cVxNySG2bpXrDiWM0Cdh2yafQmim2u1zPrjU9eWQtpIux0HRoCY58RmEUG0yMpDWpeg0smxhI1wy
pyKIGg5/FuAuGgcxU5tPIHx2MHa6sXRM+gaH0RMJ8woJWjq4yO86l+IKDQdSoyqB/t5vYV71AlVf
S/hjLiSf0hmXbSKjCO6erTQOS8k+f7AAmmxMIzKlPZCCkr42xctGkOnnIN19+iBdhoEgPk5ppODA
htZ7keqNhRnGH1emzYJ6OEOeUhiviV937Vr/xuNdhFVwPndwZ+UyTm62adfx5gBDt2GYDc3DBrYQ
f9iXW0YYmSU2m24C7Ukd1+Yg6sBahXqLndWOR2QE1fcWxrUs0/YlNmXYXULiU/CifWjHvCEuLeD2
zFEtZXmAoBZ2eE987tcO1yByPUNhJQb8m23Ju7bEYder4a+03Y0BZQu9x36gLtWxiZN1wHma50Cj
+/5Sf2Cb6LO/GlSPuO6JPOd5w+bXpWt1e75x3JhzagbIgt9/zANJxGeC5TPJKargJeDvl0bHGbPi
0K0ujAlG/HlfQ5mLaeIgvSg6fZRAAzuofvscprqXuusKMAV8RpMO67AddDtWR9vmYdnDZ4KpgcZT
y5hJ59rN520pcQIDjPew9OEzwbYWthu7WUw6lXtzjmz9044qFuhSD6572dK9h15POshSHNpmrQ5A
SQ2j/cOp/t1V34lNTELmQxq1kTlU+9AlZNjCJjfBDei70nNKG4MqPqR6GsvDztrmIGFyfVhB43PA
HNqg5WwKeV5V3f5+j4f15yruHhsl/wCUfBZYTpYFOSArp8wguI9yytoDRo/1CB+S7u114S/cQLt6
U+qcRtA6n6NPfdO9DwKSz/6qEUY5/P0McQ5zvvImmXdgJ07lan8JE+/hFDU96ffY/B/Ovmw5chzL
8lfa8rlZDS7Yxrr6gaS73LVLEVIsL7RYlOBOEAAJgl8/x6t7Zjo1lVVtYZkvEQq5KJIA7j33LPJI
9TCCgNturL5lcT+KX1ur7+2+tBULSmEtj9LGeSuT6578YjnznvwFI67ZhQQfPWQ4/i58iPHXCInp
e+YX8hmaquazPO4X66POx1mR1cLnv3bT3y3TlvS128OUlXDhOo1GPxL2a26C6XvaF6EgFaXDkJUM
9Id2jG6zsXn6pav+/yhfsBGqTTpmZcKWIb7KdA/dde2H5eXXPv/dVHLU8dz2y8SP2RRvsFDPbHZ9
ker9Mz/By2L8O53uez5XE3U6E75ix0FH9uSqdR3uLSdKHaBT5dVZDbuv79xe/Q+a67/1e3/vh16g
+P8G9fKQVOPazj16v82PWxH3TZ/oQ9dh1fXHutq6Pp+nAXE1+ZjOONu3NpiRn6des3o4orFuuyHv
924N57oKUfUtTT1odyMBpbXL0zbs3ucocvR827FY6LvVVj5m5y3K+NzlZu9V1OQklU2qcuO4RiE0
MTy6nMp5Ut+0qYclzrOON8M53TvYPZcBDT1XZZhXb4oupO32ARZyfm1y2iHiBzbfodnsmMdyiViW
ywBr+O4U647B+n4AZumGHLqCfsEFWj6NLzoZ0A20vBW/D3rAX5tlztaSge6b5gvuUFesq0+aqz0s
GzOokVM7fpsA2vIl30xMYp9TwVT9ZWyyTv4Y1IKgHwg598kMOdy+2vD5QtI76X0IWz7CNMoW3jc2
7koO4WR12DGySQ5RUm22qATeNFmszAc6lMm6U3ITi5XJY0OXfYAubJ7CCSkBY8GZXtldS5ZGlKRJ
fVrUnM2owsQgSjHAADffZsXmEfzNdqpV6SSaZl4AIdnUhCubR8NzkTAO3cjaXFUZR9mIvYQNyzWe
1lQ3uRGo7HIZR/1QLsOYfJ3dwEof9o3/WJo9pEdtJtrd7yYR7LWeE87vU1el6e1e1WJRZb9Do5Id
pV9iOCLsjC/9HRQaAs9LN43GxSmyS7UcCVyNUY0NZNq7U2Dp5r/PYmgmVUwrwOAzhwJJfow3vtlQ
9GOGJDEloosNZL/0o4+gYtlB2oKDDl/W5RDwLKfpnFAAacmZdaOo84518si6eiwmtvnBAJIIkV0v
leVqb8hiu4M32KPu2aSW9uO2JWoUeB2mZDm2KbVbMak6S+ASW4e+RF9Tiy/CpeN0I7cdIFBNybKZ
3GsHMD+XgvIEFZRzaZoWEuHY7VPcCcOOMFjptpsx8TFQbeLgrbZjzOxWBe0WCZY5MDkZTNZIv3xP
+giaGbPyTH/gdIhFWVeWtt/R+4gei2bIprW0LZ3sfbcQxT6CnjUPxzZwyITkRCZ6vdMo6W7j2nf7
z2bspwWKGRNN2f2MRVsfRl2H5KyHuJ0/1dEgSILtrVOM5nzIpL4nznXx96ytKhHySslBXXm/rvSa
mCabPreeBVrA855Aja58GktYO1PW/6icV53Ku7kT32nKZv0J6vK9LjBdwtkFnccU7sDqswLfPEXZ
j6k1634eEh3Cx24ncVzoGivpR5vhNT+pLtnvnSTqSJJZtA/CLJwdiGh0/Tx39bY/egg8kgiTaPgG
iPLiRMzO1rtx/L3D5Ka+admchqtpavvqak5kbG6WWfKkaLM0S74IlmTyZ+y76h4S8ugaY6T9B6Qt
Q956qkoFg6Co3Jpd+GtkSKz7CeZB6edeNpksdQ+l4xMPdT/ex6pq4rOfmiUcorlut5MMhrArzraO
fCKs6qrnepZKFzq4CJ6ILZEWIpqBIchv3S01d5bsjpxTzXT/guCOanpYEHhfH0ndTbx0W7ti7/RU
mPoI/nRs7ma5sh89PAHGogLu5h/qjRhsJfW0+QOjkzOqJJhWrTddC4PjY6UWDXlNxFf1sRZWZudB
a81yV0WGfa9r2epCjbZzbS7GuCLIHsrS7Wz7wbrS+YREpbNjEudjv3v9JXUSV1BSomLYGW64iiZS
1uTtFtnxMF4seXIY2u3d/ewhTDtQbfzXhATPEK+mEBVZIAqC3aFcUm8VljAv2r5OhoINnk6fwox8
RhgcDQMsz/K02/fm7B1Ush8D8ulMldez4xv2+137acpbh2Pa50C8V/vDL2tKXxHBYXAgdHCrkc89
PuXyILVbzAEhjph0HkafDDSH9nOkVz0CVrvDuqq0D7mKndhv/GYVUIsNyVLyRKqAGhFKtro+W6Ss
Rflumib6wGhnkrLO2BKVlqyxLHnY9/bVkD1tT6vbvbxahimqytknVbhNEd71SGLbNh+AIiehy5u+
d/II13jlrmWHDuY+AFcSx6xrcN65qqIzeN5Zvd0OirRdMe0mdkWmDY+gWzC2ajzUc7uNnx3pBogx
xsy5x2YjPDlNGBm39xOc7po5X0OGAB34iuezNzI+x6m07oHaORq/Jc0m+lvWpxbv2FgPff0z7cWO
N2GAZZs9TEo06xG/2dYe6NBl9oV1a11dW9W06RkiWtbfLSZB5tYB21HPSkQlpdXbDqtkeJrbuqUn
OzVKgdsMBRbeEQEfpeu6dUGfdDuk4Awn4BCTg9VIPcxXF8bkA36meF3j2m1fe5jGQ5Muk3rKihn2
i6qIsD9VxVbp7UObMJeehNTQutBxBFl1WI2IiqAXh0g5M/kNApKVxwUGCqJ+xOVS+rD5oJpTNCYZ
JkdN1UXLx2HYp/Ea1N16R1U07tsPnBp27OCRSkj8dJnUpKRI65nvdzuR2WCxE++hOosWjx5GswyB
Y7ceG/L8gPQLa87E1dKdNsckvZzcWw1PAIXbaG3uJFY5gV+d2hdVzI0P4SmVWy9zBJkJduTZgP0t
71LfmgfiYjF/243VWZv3bt3oOSBbfrvP8PbXn1u7IYIGv2Q6VQ8d4DD/LDrcxOs9ac1WjulC3Qnn
f6QVbm4yrAe/c+4Viic37XiYRq3H1XfR8MLj4IbHFfdsvZ5b8Acf2rWpmyJr68l+3jRP6Jch4UEM
ORzCyKhxp9Je/RzhmUoe4VqfyW8TnFe6r3M/dwn6KxgipsXQJi0/DdzZgPqtJoJN+RwtAUdhv+H4
QLUHy1gW0ZWXFiYNUwBtlEff4SofsoLgUG/P+zJ3H/mC9/vQEd+zotl2zF8GPmafaAJeRJEGUbUF
etGMIxFx4stV0nPK1jzdyDDf63quITmOYd951LLtp7t00D7qcwYF1rd2mt12pHGTrQ/xSAz8dzFn
lR8zMfr6uPZIynmckzr9LCxSXkqbVYACRBM5dh9GXfEjMa1PHjB/SsfnvuN2v4nbcZ6wYWZYG6DF
g6gmrjqYqJq7auil3gqRZeoxgPkSFRtrhvXZ7n6GIBq618QXsDGsuoLLuNEPnQXGlNeD6udDGqCr
7Y+QqMUHUaXjWBpSJXgSTd3Hd9miL0muzF6KHwG2b60KKVaalMMyk3jJu30Ln1rRwzUp3weoFj9q
iNvSV2XZdGvGBRVXUas2KuIWrnChwO6+5tyz1H1KFtgenBTzGuc93wjK9BQCXu3ykGaROze4BPK0
TKPjRULZXHahXsarbsNS/0KJ8esx4V0fI5nEwPIszppUlGkPHmlu03g/ShxG3uWGVq29X0CdkmMx
sIH3t52twoMIlwDU3ezpjRWiIweBBJsNxyhKjtLsGbZ936+ROndspO7j0lfx+jyaJS4waJiTr6Gv
/FpUvs5OKNeQmtlBRTNh6pabra1PtdMw1sigq8Zhmxb77qTOJ4QhsdIZkpwU6oFPfuDpjYKV0pAz
2c62qOOEKXi26iSfpqxl18Kr8DOD+qe9S7B0hqu9tbu8m6PEPBIPi1e0QKm7VUwkO2qnODOPa6TB
JHcbLxhk5HcYikCsjfDSFG7kkCHfBSOSl8lH6tAlLevyYdjczdr18kF5OOiXHV7jgm6LL5K6ak5Z
lsnbhalwreKt/xrU2n6QaW+KhrCnnprhhbZylLki2oJ2svRdN+cbaaS3uUK1G44B6XHhxNZEvbJ4
09euDUKWeJ1ZMezLvh1H09LrAPpi9uIjwT+o3oO1UCZu5NGpGvjq+7zCmysgkw81+dm4KrgXShkL
+doMmwCVM159KJuLH8C5D9sO2xRh4qCRrDvPNkEf06RTWyq2xtH1GmdQY0NW6sm1qeNK3ttos+64
QudPXnfWJ6yQIVvdzZJpqr6ich3mA3VJlJx0o5vstt3WHmGvalz73MfaiNd06TV5mNMl1QfYNIQR
lgSW1ecpWmX/JaqRJdwWNDS0KYlta5cvtEEpKt3Cm8L0qFF8XqVRmvZ5oGFpfmyCpvPtuk3r/h2h
VB7lUO0ExdvdY21RnbcQDLUHuOhUyZURfdM+bTF6/8M0ZulwdBz7TomORvHzfKHfHWY+JOkDRDUt
vQF/No3LWG5UnmPIprbfG+gDhofFOqFJEaRa62s725SwHIYiAjPGvU368ITWmCfogkHZ3G+s7S32
hXrkPr7TA5bkhw7Nqv/S0U6eswlzptQOnn+JbdpFXwdMKdEmbxNFCCJA6LrA24FiKa+WFbu7NctW
roMy4hODpt+9Co+9/bO1s0zakvI5wnlVjTRaPzC/t5vKoyThae5cZYZCVmmf3NtdbOH3DHL//qdp
oGY7iBZJgs+hrzcJwwE6mUdkPNNuO4wr3F2vZBMl0yPDKsOOSFIzC2xP9cYBFtYjZM2nNiW1P6Vd
3ZGhzHaDEiDvGWMKNvAT+g9UfO1chFVfahHEuDj/1DpjlL+SnerMa2+jaT1ObeTk2Vq5UDyxXXpT
zkm/rV87SaFFYnUn7Vfnu3k9akWGqJDdEt80s6pYMWOa7G5D22YKj4Q3EANaoOyF0euMonRmsJN5
XXa45EIgPVe3k0rmK19t4nlOk+BQHdB91w+h7/vcIK4zhyhMLSnyxUQ7HYMXNBQKCafLeU8tGrRa
Ljy3zk+Rzt3ivH3isef17yuiTcRh7wipS+Yv52quLDImThXK7NsG1lx469J4SK+rFpGpN1qF6ZMU
uAll6lwW9zlpwBt4tf3eRqhSA4muth3v9RXqgJhfOxwB7Tfv0+YKLUAsv0ywOOd1QaUizbNeaV3D
EjoeWLPkeMloWgjsqgHdXATh3M7ruLkXrSd7YbDgX7qYDoe+atiIpVYt1xMBgnEHvCKlj2LcWHft
VyO/A4n5jNLDJQyRKgwU8AkZMcnzmKjqK/ws2qZUAzbFpjXdnXMEldkOgxF/7rmoC70HBI6A/09O
DTdpfze71PZ3plrszaL11H5DQLR7i+bO2nJbIjzGbOOv3ZJdhjudwNm+Zf6VoZZwpdpn1OrgNbkt
7z0fjhArS5a32ivUBhhVrgi7ExvwWuyEFviOa+895AhIYBQXpAfCb/PaoRjLEwoG+hlQurS36Szm
6DHlIPGBFMRHtZ5XppTr8VCWQCwU3VXbHDaSipYfWsGaJzUjG/4QQ+Yw/76tSbcWUQ3k6iu8GhBQ
a6iw2WGsk5Dg1WySD6ZBP3IVxtbmSYsNVOfrYpBip5Kl/iHoYJPX1C/1WoTBxuh2eNavW96uoo++
NE1cfReX0uQkNqjMXwLTb67rXYZyV84xitkh65aTRCaIKCQzw9tEsWRzgciOArEgJDv0MhN/A/+6
dMdNCOIAf8sqQyuDUPXjlnDPP2sVSeiPG1kBGYzkAGckq2FRUKIoGfw1ZdP0o++3NMY+l9Xt+Aqn
NtkWial9empdFn6idVb7jemT6m2o+11S5H+HNbkdap/NL1FFGH2LEZlBf6K1rIGMtIreysl02DtI
HYpExbN/NLLiGlIjzJYyxRR5bCLGgGaj9CA31MNQ9ChXw5JycztJDytb7Zr3w7J9gCdynH3SRq5P
UZTZT6Li8QsIFG6/miqoRU7RhMZ464dtPbBMwNB3b1f9Cfe8uxnjDrQ21iKAGx4n2XSeainngupx
8LmOqu4zlLpbPlOofLTOPLsxm44eOfPbHZN7LY5TBeuFQ0/DdjUjVuIq1j05Z4hJxp43pva1loqG
B60mqIfXFX4/OZ2Xyn3wCyxev8JABM2ZDT6rPwMaTnnO1oD7kPi2xbYg0zidUHFw6I8FcS/1xlAk
poASlEKV0dII9rB8j0oDGjw9UKGAm3jEqyOnhJu9uUo00a+wX2+750RMEIFvSGB4bnAhedqssV4K
bNvB+dwAG0sfdFfzrEg1Ludlmio/Hdu5ausiybj23y9c1/M09sNws3G+9/gZXWSfuzjz/UOquEfB
Fpr0KISOphMolNw/AYoeD9gmxvFoKG1tmdRrH4Muh2DYw+QJNhH4Y1zjWQCOqDSdNNptD9LyGoJ7
tlHdrsVIl7i/jqJ12K9gP7b/jChik/Ie0ZA3ap82LJ9K4HZ0nhw6mS3FPDt/nU4xCs66GW+Crukz
2MszFALwdwTOAaOGNOPV52gHnfwooJAJL8CZthUHkSXxTyeMSjgycLod8IDtFz2eR0womq/1Ptuh
wJOC4F10NSpz7Jj9OhT1XGn4l8O8SN7BIk3wQnqml/M2ZbO44ojlRjRqtTLR5BGF7eHRy/SyCKN2
VQrpijM6Jmw+XdnuVvqzgyhD5sm0uR7LGPOutwVnZ3XWxhFVrnDUJmBiDkkWv04ZKrRy9dLUBc9W
Bq2PY6F7bRhsakoCv/nmcw9AI8uHcanrF7Lt2D1UFLH4mvF4oMUgkz4pJ6BhazGNK6CtHCKoTZUt
VGjkIdOzEU8IBGnWPMAFWh+WUNEpD8meoYKROnY/IoNUhZxC6iGfkGWz8qs6aM9/MPxS/pNFgcpu
qY17XmQ975LHXnkC02SNpqBu7DA8Bwj4u2PSWjKEnEJsvwLArMddoVF3gBzwUm8oChGbXs3Iupa2
uqsn0uznOCPbeCc1cNqc6dTDL13X5o3QtKnvk70aQe6pSDeeFrFGySMEdpxhTZl095j/jEEfkd/o
zRF0MT0UmKrQ5fvoBxshIHF34hz1gFM+k364PCGGxqeMjdQtVItowIb7BfhhV0Bf4eySw4slTm4I
SyiaS+qi8dSAZ7F+90mQtqwYq9yVx37tS0O17g59moq5TJBI47p8NkOoj+gGe3lTZbBfA/myv8SD
IS1tKtu6kdt15QgXBXQiStISTgwEC6qpBsyzMQqd1DVbt3RHzeJ0dgJIMGFaP6O2y4HDxl0OZeHe
ljNeg/6YbUs8v/GGdn2E3iHOXIq8W5iY/K67oYeeq8OEzOEwHVAnZkXUG3nFEp2E7dzFIhWv8Iwe
3K1Ha79p/OJN1maoQbZ0eqC86bdPEX4bGeV17NJpOV7crNGQrmJfs/vl0kHfVNHUbSi+wJeFwVSo
lHoIQ2zRrJglZVjgWQfMiheYtVB0q8QOcvzRBHTXIMgFPpA349ZoRjHAKRqmyUFuuyKtZjLXVk6L
eKDYPBRKRdHuP7sa04ivbeun7pipbIw87q5OR2QxM9M8ZSj3sZYTyTN61CiN5rdaZ9SL3MUSbs2e
Z4v4GAOfaxD/AvzffZcmW7pXHS1T9DgpDHye1kujCseCIPqk4OsMX2PI5rTpz/WAuRdekkynR8PR
+LADchSX+QYKQEV9sWOGNKHTbQxveEkoc+LGa0ySblFdC3aLsiizH8a+7cw1V6mfztGCrPSvKSEV
KdilZjsu0xAtec8TH91OBO5UT9FilwZ7HGzoC4nKeDyEZRDmvrEOQpeBEr5+3HvwAgtBLIY8TdqP
sJgxKnI/BLO6+ph6i81/RL5Bu+7X0Y74bpSs8DXsz16rNKCeQsR1EfPNLacwjTI9GaDs/qrv2E5e
gSpSet10mAQWmgwgABwgPCVGlHg3d2BbF0QtOs4mSZYiZUMb5Vhzd0zbkGHWSGGPcSQxqNXzsYli
zHvYiBFPyHtErIk8zJumpak5zU5uW+R+0tkWkRGWbolfJDA9hay0aZFxe0tjY+0rtXBVf+MqW4Zb
FLYNP/a0XuQH7zGaKXslWgV1Ighpj8049uymUv3YffACN+YmJKKz12RBpM7dimtNkGgedvrYLnxQ
11trZPeCRq+p1oIsqJbnsp3EANg6g0dbQ4oFi1lHBbw/WNAl5oBcyGMHOuDFwph/gYMhsXEhJQww
h8OAUZBdzijADG6s4602jzinRwDPIONglIbaTYYPKW47xFWS1t3+gulJtR1XrOSj3Hd+iyaaRTdJ
VEkUdozAvS65jPFEckVaxvRV1/KZ3u79BIlunITJffHNImFa0S2wDjk6pbdQ57FnlGPGmYB0RWYr
1oIB2LBfhxWW9Y8TbBdscrxYvcbANDaKcHdhdrm2hRy878owmEuinLPsnpoqG88ZxOX+NI96SUu1
Bj3eJhY+NYBICeatUzB8OTYA8eM8snEcHTGjdE3ZCyXRdurZalRI6dCk3zaOFPmbalft9gxLhswB
e68rs/9MR5qq77qbSH8mKaSOZwLUd76DvNy4jz0sqVHbjDTbbuMssuH3MNNW34agIguAb0tEsUuU
Iznw5QWzlcZakP1ml90tZLC+cAHBoWeDS2jLZU+SrgA3nmFmnmUXjuoqjhL04Pt+RTLwC/GdsnfG
7fF4zRF7t1+eNq+gdZAuIBne8qz9DpgvSsuWikhbmLWinynsiLd9OKCy7nBAYiO9tPneaP8gI7Om
RYii2GCxiNlALqHp5Q5KDbgKlYSh8sHytY+gS29483O5nI8/+QKdPewNqDrPkwxxTrDf9R9SYxKH
tafoMLtcCwuhPyAmBEXxmjSkTBMagV6Tqrm6T2ru/BHbKLwQ135s1jfXbnq7nXY+0E9mW1iG5mVu
l+sQ+L59EnzQ68PFwzE92WGp8gFmN3OOalRdwHK9rThzMcB8FCFIfm1rKA3uMSgZ4MGA2ngHtDV3
QK0ogisz6r5BuDqLHMKixB82pjugdmaun0GTiFERrQhlfm7BbMS5iIwNeDfKVVTylWsiQdceCeZZ
69VYmXlyeQO9X5ZPAjyCtMDs2yxvAJIUwFsANsR9A1qxN1HOHMrXNqfYZR0wxH6C2iOHST36zuMG
eSjCgcYtY/UXKKzDYvLFI8RmvhpWR5u28DP8w1GHErbRuDRpDSpH+a/WONjzRlRcYVKVuoKAEWTz
SLi5KmCUnL6k+O7oZvW10mdZX7BfhfZ705c9M6sepsSaA9CCfQFTOaqi879Wy0a2YLP+BKPubSsJ
a6cl30NNHzCwGpeSVRB//xqD6b2zEAvZOEyj7Q9Efm6zj2z9NYb6e0Mh2qcrxjX43LR5FgAtGvqL
Epr3dkIT3Bpl1XB+xDFJACLJldxZ7Nb2n2h4/8SwCiODPzJ9AIUlDow0TCYirL+5nhp3M/hoggei
NRqAU7K2iAXgck4eNwvoFg1WG5FiijY8p39Mobqwiv4e2+gdsUxhRLM1keHHCWmmfdlAGXIH8uBc
oF7D+BGzOHH+xz/pz8hU77igZrZ41cApPsIQYOYfXJiqpdQKdW7pcTLBnRSOJD2q0i2M/+QO/wnJ
8r07UQt+GE6ThB6ZQCaHg+3MYQbW/E9+oT/79HfsM41EP8trScEcGb53Jn71Qlf/hC7+Z5/9jh6K
Mn0etKroMSD2I69NODdLn/7ih79jmLk4duO0MHoEBn3AILXJqxjI4z9+zH925e/oodW2No7Khh0V
iSzO9LXK4xqn/699+uWn/jdyXNLpFOwg3JdkH+DN6yRSJvfpwz/+8D95Q0n6xw9nJh683lq8LjWX
yU8LTMkXhIUEuUIiGXSuF7CxT1AKUf1L8Xzpez+bWijPYSNEj4hDpZ+y2dj7Nga8+o9/ob9trn9n
db93s+FtSAELqew4CFkDgZZj8Biu4L+3EDv2mqHyxt+MWTyyq0a3H9u9+RjjTaOnyjZLjV5F1Qek
M/7c1hTRzbnjKMn+8+r+7cf2v9Tb9Pif12H/49/x5x+TRrOvavfuj//xcRrw/79fvuf//ps/fsd/
XL1N99+GN/v+H/3he/C5//Vzy2/u2x/+cEBd7sLT8mbC85tdeve3z8cVXv7l//SL//L2t0/5GPTb
X3/79nNoxhJNj2l+uN/+60vnn3/9Dd6DF9b1v/33n/BfX778Cn/97e5b/c18s7Uz3/7O9719s+6v
vwnyF0kSSQjIB5Bw8UvWkn+7fIUnf2E0jsFpAINRAqbAzxqRfFr/9bck+QtJ8BdCpAl8dLKLKNZO
y+VLMf0LiymVYEAlCUvR/fz2f67vD8/o/z2zfxmX4XFqRmfx3YQmfzgy8NmQ62c8Bk9OMPiIvnc+
QESQ2DC/2w7BQcByYpc53LZeiHJ7nf2uOnjxFW7gMi03ue4mF2qdwQhSJL6REY8apIy1Iu9GS6fP
A9gv8n5dyOVfjDb5kc4sJmWzp2e+ZejbUfzCeqLnytQwOG57/UTB8PkUZbRRH0gAz+IJni29xVQB
ThUFbOP8ChyVVeijem8MYBAt0ZTDq7oDVApeDsbSCbBamQxgJgXYOPBioqN6HJ2Kf4dfdYaxGhzQ
i7lb5Hnu5ug56eoouV+6fR1KEPcyDAybeO4eLvX1LcTk4JfSHvB/PBp/jcEGCG+GTmt1X8GxHaCb
ANII4kfyGT1xiK98RLYln3lyKfkqdKcbptEYn28ma2+zNY1tMQpbD0XSbcqU02ozeL2ptgblATPv
o8EbQUrsTnwv/No27QNmiwROHVvywjBnvI1IGtRxR+/VnyLsNN01MOgF1IMLkyBnPMNcIQBItqAQ
i+wpcXEX0G5nC4BGWpeuFQq0SZU8cBgh3MZG1BiHKv0FGag/KHqTNocZzLSgJ7kofTGcdjmOFZHL
rG8+4dNwBqzKPFboBKYz7TXq8h3kNGigiMqeO7ggqLtRVf5/U3cmO5Ji2bp+lfsClGADG5jSmGHm
fd9MkId7BH236Xn683lWSacyTt5KncEd3EFJKWWWzM0Mg7X/5ltJACiF9BPJNHM4NduurYellS3W
pNTt/cpCktbOqWN0MtCX3dJijirFi3L3ZTqyGDyZrxK1bl5g5/kgQpcn/m2zrsYSoB4OzSUCOMFn
POOx8du5M2J7JBwUDFuOpapbZdZdlGsN7hK02MTe+2ZpYrG64xgioos2SnfBP4+sUtiIQWR5ctjK
cuaQuLXDFmFDCyPKKDcL3+Ls+ziAhK/iYjWtHx0HwKcauTGQqVJf7ZAY65mrDtdVr5MNx0qN4xra
Rkv2S+nTKa2GkVFwd3YV6Bp4FQb8RJ6LQjd/dJ4xrXFmkHOKsjUd5hAXl29sgyl2Rr7sZj+HC3DJ
7Sq7U7lz6zSlfBoGoK7BmPTaKQXCQfphcXR/wNZ+cZvCuNembHjfvU1eeHYZz63gPEy8wRUPicIf
pAebj6yPUqkjfUMv2z6Y9G57yBtz/6Iyt1/N37mRgHxfZtyoKXVIKrQlJy3R7N0c73paX3mFp8Z4
tVrwz3ox12+jtvc3XuHofYgkiqyRAH9oA0AV1mO/IaD5uqhZIuFqLt3TsmzsS2sEZ8a8iFmO5qel
xsXEcW31h7S2rlRnkJ9dsnarCLjX+TvpLbFGnJy52o1UQ2nq0GHCts/QLF09edZ2Aqe7Q4y8Xtvm
C4UFCQzR/5Am1vrizfzs+qFwnaOBuvq2VSm/m+47kZeyyyywrLq9aPRqfhxYlJL51VZxL6jQWXPL
Mm8VDrTyWf1axNPc1hE0bKINsPlFHfeAJ5+MuhwuMG/Sd7sUmRftI5yRu3LNKdk6ZjYnR5T75TCJ
NPuBbdRvfkFlbfYJ4E5cHlX/mKMHndbdsXJk7gYLMJML8JPEkdVXZ2fqbKKmmAGW9f48GWnz2c/t
7BGTMtf0yNDqdmFdOmngVMscWXO6XBNh1yAWC7Pw57StlocOjtAfaezVCgnRgiZVXt0j/YukO8/k
YKfjunGqYQLTuyIsTUuWwZ5wrQbsIBpewCo7N80s2sBzcu2dDK7TPLnFoOnhApyaXFDp6SFiLjQ8
h8eg+1lrm4lGt5tHpEAuz+yFw7T+Y5wqglSiLSIrL9XBm7I+zAZXatzCazNsjZyXBBjXx9LCkGHM
gXsYkpYeaYNsXvPYrpNpsRuy26PZ6pP7etP0x3Qr+USlWJw5aoiVLVFlFcWdPiUOapkuZtJZKITa
hUVK70POeBxxClC+vLLMZA/clFsOurVZR51AMYPlp6bbJC9T1F5uc+GcrsbI/SKHTciyBq5EQoZo
K1jPy5O37f3O/crIE3/gk88hIljyrloR24Jqa+o+oDHedaHcZv4QYWeYb6yd4AGwO4jzWYfSHGQa
E8QpdwXLer06l1HD3cxDVc3Xi3LM9ZiLeddOU2Okp3VtuzzAZfGGWGjstDiMve3FSMP5l1y9/qWZ
VHunzWNOcrDP98+SZZ3Kbx2bqsFaTG4b8hJjHcxTgXfSWGUZD3blERzAkaMiIHdh+S6KyG3SiMlH
waqL26HcNwYEZZof8PF50LlN0z1urTtctTpuYShLdhsi2HNr9dge4/mzk9bXq2zze9PN5udla71z
uaWeySlZ2++LWqdUlbpIjVelt2+P86678MeKkscRuYi+i1c5uT+dxdri2kyNa+JkWE6ttrSVT4th
6f0GuYQNx7Pj+ka+ZsmNtRXrFltT0Xm3myvn2dewkK40U3lv0t7su0KA6DGLfOXIUd9PtZeTHdzH
LEwaI4e1hrOWpLMWF3ml++60/ii6CpWu454p9KE035E+3SpIxe6+jPlk/ho6zkWZtbYfpbZjWrbs
vD7pK/AB7jFocYCdHzarmNDUJrTlDVhkMK8iv9f6xjkbvaOL42w2ktCizMKqKpRP8SfNg57ygD/t
qVf5bF3GTehtMM5Oggjf74ny9VTIe6vS6vIdgyW9lHO5BLLN9nitdbTvzgPAl3WLaQTfQbRjkbZ4
Ga4hRpalpMuFli0pgU+5jFHj5JsTGUXuXM+9pj7nykq/cLqzt2zYHjWDByvphdTKsTRUe8jXzgqp
UOg7o4dD0lVxL1JMXruYT1Yzyh+9lnU6iK5KkCcripNhbfZRqMS9szjuofTmxmMlze7dNrKhvWaT
2vxLuk6zMBuUor6RY6aqMCsWTR5ssZdoGGiiEVWg1ohbq1x/pCL1vhYKbvMzJnWTH2VrtF+9berq
bkmoyXwjGhzvbNVYWJe5Z/AxpiQFN98CbPFlphXhT8/Cij4lemURlWecw1Yw2to7N405P/Q6RlWY
E9V9WLyhNU/tKuv9nhTUPfJf2Z5txYZD3/SW7W5zTIA45p5dGYgwcW6z/SnIVjWyg4tH1gjQusOY
zdY2EH3Cz4RBnOz4rrJT7abuuSm0PE68xbzRLVC9yKRLG43rOgVEC6rI01lA5JfMIF/KMtcnu3Gy
iGUAInTIMzFFt+6zpjXJRg9Ad8eTi3PRfGwNqcojN1rvccsL62siatn5qaWaG7Iv/fO0kuwtTFLw
Z7PcqstBtE4VUBAwXoSOqSyZ1a6H0U6PXjWnFBZrJeujXUsL6U+spr9uXddDweisTx6QVcgjyy1Z
f6CZL2MyfAjVJ1lAFrBCOOW8j6vY9y9Gbnca7bHMIUdJ6XcJtHxrnvt0Sh9x5lwotpLYnM68+LD0
1Wq7XMm9eN1JkgRejyf+ObIOiBWeFnfjhHAOM/mHse4ymLbsoSiFcdKEyZ1/XG3TO/eQOGWs78a8
X5ZGVW6HuiJ5e523s0mDZ9Gcwtesycxj0Q1yP/BPtcM9z5nhHRiNmx7yfuoOAwie9WLa3fGR5F9j
B1AkxUNeEDcKCbanBP7L7l5tQ3rPtb/H+7xT4ChdHvNs7p2m2xx7NMDa6S6AkZkHoTEV5JX105JS
DBicChdcuYV9Gophy15QwAkFeaJLyBN2pNn83dTJEdITvLWWNYRI3/nrNOVRL7P1rNdeGyEzY9YO
5OamJccUHXaC+1nlKM83M9u+7ldvvF9AJLL/ReSvHZ/tqWlWVWK8sdk1zjVPkyHdhjyPdJmZZWDN
mvaWjZQuzoXWkWOdzNp5WsxZ6mFTWAZxczW3n3rlOmyr4UF7jb/J4ax1vpuCAztsHvJtTapDm3sF
X6G9v2HJ007hr5BhQYTRINhdk3axzG44WqZa33uRjjrHsdK6yTNTf2TA5Q7LvkKG9Ull58Rs1591
0m8H1iJVJ2Ukex7PXmtdcWhwE7L0ECWKtjPZ3MRxJmTI2J2AWOGkgr1c1/dVbEnnC6R0wbeYRHWF
lBjQ3dtH3ynNsoj4MZN1Wihe/uDnKy8HMldod4bO0322mjROsqzqwjmrDovek7IkC1HfCCoX9EnZ
vWLgPmeUTTkR63hcuVZwquJ4IwMOuTs07lK82yMPsGAfJ86vROSslMhhReA4Ida2PalkMKxYG9lV
csgJln9BcbVPM2GTt5rNDuGQ2SouO27zuzAV3cxNcq+hYxCphgBJTQyo8Kkf0P/b1olAVy3k8G5p
fXKTOrN9lIbKnlXuVm5IuDMrD0lRybtdje1w7luR6OHgJTKhj9awQ7xevQJnI2VpEDll5hrCGeuN
2yFFBXhz3lfume6DOaRPRKdU5duF9HyQLTWX7u4cTCfX2Uiuu+dtoHSCVtmcSIR2txjketgpKakK
bXZVRZBlh3tFh9U36Z8RWW7y4bMYMzkePOGNKnZGskcc2ccvlmTNN6sqSP2z8NApfbtNUx7S66Z/
WOOihxXfwy9SWPv9nPGAZxqVl9aUybuiS8nBZMlyRXr4InU8eySpgd5FnG4Gvy4/h4mBh+3Sjp+L
ZrmgjviQi14/DkXFxDtL82Xfsy8ut5XPOLf9SeZfFVnr05CYdVjlLp93wYS8GvLaqrXuXNsDf9Dc
drf4yzxAaYy9M1OASObmJx+s8kMXtg0yJ7EZ9BszBJ7TRIbV2qey0bsHAOj6ka4o8qWXhW07mEcj
b5yvqdKMONGVRZ2tjPfGpd8jp7IIIW80h6JW5oMyjO3C2V39O63QXBDfXD4m1SWhlZR1TcR609eY
hgLJem6Sy+c+Sfi9TWn0wZDY7nkse4Yu+odFxapKrf+wS+lu0S5xjrfJVDHuihGV0nSOBWnMuEs2
jvtzV96Sgt2upW3ZyreXiroOyqPnu8u4/9yKAVOtZIIMgO25jxtp9ctNdNj7Q2NxJq7cYOlKPRRM
8j8rbVVH9c2d4GHy2mOLG/7e2tPVILmJjnhdRYCabCfHuvXSGF75sa/c8tjQT/ENs0P8KGU3PjHu
suCt2oYuWP84c6xdGvaDXf5yzcw72ard75et2N+MKpX3TUsfmVQWWPJeWNvgNxhxAVuHWUFXZEe7
JQAhUvaLVYa8maiF8oZWylDCxlo+CqpkB3NqkyDFj7ycK86nk2P1rzRgL6j+0HXSbce+J585xn2t
1jvSmghHesZ+2rIpX/vK1F8Tve7CalLqejGpoFjNJg7dN7m1GiByIfaytGezb1l9JyMiN/m504VP
DXOKzdW5BlW7BFbvWBebLQwGKW8PYW/1USNGmzPynF+qIdWimYfxQXo64x1Lni65URURPxn3pdF6
CAipwkRqTGoCwkgfNwip8zHX5/URS5IVl0M7cn2Q3b5xU8eVflpIiqeVtkTccTe/NZvqsI1pf94J
woiL1Si6MUJNO21JNrxphas/2pCjNM4q+/C0w2gmDlqaLz20xKNTlzrf6q7HneT7V006Rs5QFem5
XxfGkCVbwtm2beacvXR+rE31ITXeyNoa6AXjXv8kS5kcuT+09z1tecahRLuuyP1GVrKACubBOhl1
E6ZVxg4tm/gC7cj1Pmsr57qziVX5I8eB0fcyjjd+stj5BQyn5uQQYfmpj+YtAdElGFZtZyBLtltp
bTJatZHNgKxDodg0ox9prHmhmHOS6442tbW7fJaitt9s2kj6kPEkSaf8wunH7rhx3ohoYjX5dbLa
2489r8ynslz1X4tiedhEtvZ2ItVZSHsfrzttK5erbO4yZmoti+u9+uxtQwyRZg5rzOi9/crcor4t
B1vE/Tz3kdJrtHUdkp41bc1hdnHk/Q30M5PUbqeCcdhhD2JZ5PsSuBxa7khQEPOxG4OH3v8bw+Aq
/6Ro3v4af3cM/mQy/H9kK5jS+HZ2/u+2wgv2wP/xfzbpR/XvtsK//n//tBU8/R86yr1u6Y5joOB/
k6j+aSu49j9c4ZkSl9wALoi1/9+2gvMPATlB93TH9jgGmfyrf9kKwviHzZoE4TpYFJTnwYn9L2yF
P9vQeAoeZ3whPRB8Bpja3wGzkORTbsLS5QQ0lYdeLxAEUpmHdl4i3jfb31i3f3j4/22M/fF6oHZI
ITt8Ih5v5M+WXyHWxPR0D5mvHFIG3LL4SfGcRJ7RdNHKppKwTvahZ4L1EPb3bXY9pDh7et5VUqG6
C35mc+LO4b99bf9yW/7krnzb7r//XcLVXQvbRXggCf78d3nDQCwSkgkZgOp9bPg7DGpc7Ge3YzFa
Z8/b22NbmeqQkJgMs+3KVtP/jjX9z8/GNGyh6wIGpLB/+xvK7w7Bt/Bz7PK1P3L+TM6ukbeP//mt
/sU3zsjs2q6DX4Uw9/3v/83RpVwwF9leuEeztWO7RPaznDxecgTVfuF59Z9fjev098+VwzzvxkK3
sriQ/vxq3x1oHbPDY2GxIw+ru1Z+MXXib17l2+P+7dvz+EWQr5U617D47aoSCXPQYifO0c5wjfvy
22Ktpvu5zj//89v5iw8P/08iSfB+XPn7wndbQ+P94/JNaED7tVb8WnKmldJsbs2i/BuP+i9fTJqm
7cFV1cku/fmzAxjSckKznGMLmC+o6Ij7GVWWsN4hIK6F/JvQxh+Ard8/RUEi2LS4I3Cf+u27ynEw
d+WkzpGWGvyXufUuFyfR7ysWbZzaOmPlLX3HQwb7IN5belcGnsoPWvKgGJu1J9/lqiOhyDkEkU8u
ULf7LpCmW4U27a3bUVCMDd2s8frTVDR5YNY1yztVt2ez3y79EnBYMMKJY8nsk3y8U3Wt7v7z92f8
xe/cg2cgPLQR939ej0hQYqHB6BxT2j8nahnuacNQQTGzn8BIHLoiwRFT6S9cgS6yRCke0d/cv/mo
/+p6xSyGpWE4um3+zuFUBZODnVTescKHO9H0uG5wpbF7Mvk3uY3/+UoY2jw/BEFvm8/6t+8067Jh
wQ2i15BAcV0nF5JLW78PmS6iv/lo5R84wj9fQMjfuqELE9PF+ee//7dbS18bpuaIwTlaMEiickYt
U9zxbwXBunupcSGIfnxM8f6iYiKeGY6u3gPraLrFL6F0xN5A7XdzHETuYbLlw5TP9oc99268SJAW
AbLK9oBga12O49xelFmdHxuVbTVi7FSsh8ql09QTl6ch70wn3dvcuMssefBUsx21fsD+Ur2ITBvi
A/+hXhm+jcGUHJdR9OysNpKrCTrDDf4E2L8hG2SUIgOHSNf5DWN+8bH1RX1i+cYS6RVB5s2zNTzO
3jmV/ei85uZu3SzI/fE+WENApYpjtqfoQOsiuTKKLfTK0aTS19WnDGBnMNSsDcYu6R4tobpXgQfx
wUoblqNlfSOQqwgbss4cAGczb4fGa6o418fiQdO7/sbVaxf3j8ZPWKoVxx9yQI9gNCdXiogtjSZG
0Lnu3U+5DGvrJ7r5VmrFC4IvTbJSa+UFPc8b01PmtVNnIZpITG29jpuZ8xh3gFTcG4YLXMjMpHuh
W+Zws9OO89Oxl8ehVyUF0bFjKwXCA8ySPCQbNFXnuYW34XOX2i69iU6ED661nsJJJJMTkA2FCd8v
809GJj6TxWwuM1okGJ+Tcd1D+OAjM8VE+pWKmDE08zObc4G81zbKH0xw3XtmbNtGZl1vfHKr2jpN
kz6T4uy1QHGSvexnWUdtryeDn6ffGbGegzXJh9SokagqSr1hObtIiamnDg1q3o0YvgMTszbYH4ks
F84ZCE1wRIw8sjrbfiOKw/HcE9abmREW9V29zG7mtKewwd45XseddBA+3Dw4fihrU9Iv68V7XgZ7
rJ4pRDc0VvWCqZ+An+8kNlc82evhobIYhFDpl46znEqoV6mgIvvxaye0j2k95Q3UmtFMiqPLwZv6
RTltl6KsOajJUbZhDmKDn1Cq+5DK5FHsDDhYmqL+IU2bLZLw2rXQs1R/wkx0fDOliTgnOqW4nT4i
dZPUgwakfdvfCA2h2yQQlNY0ts0WH2xtDP7ebFFm62fuKPMAhSrzfE3L90tBF2eaDTbteba6SMem
fjCbZQzKfDsAxsgehe6tEXir8TDwt8UkLekF9aMXu7Ze8/2uNWX2levjG56GIV9NYD7a1HieWRF0
YW79zxYjL8onOP8q6/t3L/GkwYBq9idi1cpnMbsIcBUhlhi7vRw1l3AjSwb49HW3vHIniBQZ4fhT
1rBvsLDslDJ3Xn+wFay4LhpjiV1TJV+ULu3Ehwq03M2FzlGer5hF5KaOv8TqlWWbsyMRUJPNnBm2
i12Pd8IbthhZmr1lw+RGqKHGgaqmhsrlHdaZAZHuFql36oHR6iDVqIlo6dydwfS6FwOB5hFwwMJB
YUjdICmSp3SbrYteGemNVm7igrCJ95ETkHgSuz1GVZqatq8SNTGVqyQW1MDjrB45Dto5PwVXS6lv
UPKVHcNxjX95kXbzK/bgcHZbvQTgjeO3TNMUs7KmuRor24WowNrLsAXYRnJZFZXvaFURYMu14UqA
zTft/Xow+yyaC2d/EL0zXHV7mf9Yc+64uvZd80iw4/q+XG9ZCbCcsO2SV8rf1FTL3SMUY+0RbQgt
bMiZX6WIyxO66bEd6jXwmmQIUnmbVPW9rpfViXCDPC2TyfkdaSzd5/kI+EU7sHlx+UlEZBR4K2W9
81vTjFccVPPKqoYrkIdD6HZFGqzsMqYAuRmX1Wii1GJQVAdFiS20q3Y5tBb0isEYOVAYsoOaoeb7
ZKCzdFCWAz9t3KGzNNqvVQ5+vTj2I0PSfpz6rEe05KcsDbwyQ9rRgr11hYF21+Xq0iyazXcMrQt2
7uDHJGk+WK2Ijc87NxU8oxTIXG/Rhx6cIcxyVpusAuiGOS0mJKgpuW9YxRY5SbpdFK51BcisCT1X
Y4mAKYnlLFP/nni0Jp3NaAO57bfS7iGwLo1cfPht8hWXaY3QwraDg2n1XRECvhV8F6cYqyCxPDGX
rXeiyc0YMy85qnypAoObzXVeE0gyes17yHi/b8qjTR6WVLD5NGQtV27nfYE29418DJ2+TXQEYFVS
zm35RDAOdue2suFx87Ta1cucqeEHfAmKTr3jKcI1xbYSPmpq8jDD/msTecPST9TzxZk+EEEIKW1q
90cXgaqwFIkBgIfhsFX33PtDyhDGNT/C/psXkgTE78o3oZv9mVp76hvTvtPvWkCqVGl2yPNyo/QH
XaNc1IXak5UQlfU8kxQIU097MqsFEjwP+VuJDXcYiE3QBcyMxkHKX7hyy+8KGMrfg5D6g5MPfdyS
/fY9OszxiAx6/g7ux3U/TaeJou03H7Hpj8QG9ePcC3EkwSGheRpalKgBjFEnqkvIQeJ26qo8bPSs
eWtdIKi9ZUeJthUXWEmIafTffvFAyqOiWap4p0z3BDfIAB622stPVe027Qe9qcNCDbu/g8tiZrS3
g0bEK3artj7Re/nVCtGe1yUxHkyDvTlK325zNZdnak920HomsTcqOvMzff30l72XKoJns9307qaf
qOQlB63x1P1uV+kBBPSX8vrp2mi09FDlXnOWboEeVhZTGa+zvh6pwG3BlPRFNNb6XU9rLSClRbnI
ndfDnthEZFIrbc6FzZXgrkI/GOY0+qso9kO75uWFteX4vOD/8yVYy3EJgBu0n2IV1QVRhnI8NCOf
iCcLtmY2oLkgnWAvZvKitKbXTa3t1dqu12vVDl923U2X1AM7tjhUa8DZ8JqlpkPkJcPwYQK2OtZ6
P59qezuWrfaM+Uoccdq7NOpZ2HGGF4KI2lGgTSdZP63DOl574CiPOg/BGOH53FCMerIAH8EBcwUJ
sFl99c2y8+T+zueKvAW3MKXovIJ787dAf+2w0PXuu0gdQAOUvlsLDcqmXrUhQsZ8u2bqBbYK2T1t
uszEXAX1tkQtme2QLShdVIEQUe1K/Xhu9+PsjXNQEZwZ9s65EjsoPsFu+TsGexT7tEhAgSaY+43p
Ch/TiQ65lh86pwHOoH82Mo+nxRhP1bQpoCCDiM3WAQ9pzDyFzZU+Xm7vx0oDMOE5h6G1HSDp2waW
stPcs9euRSjYFhKb1SO4rDrsp9IIOUKFTY+ozihfRjS+0khmRXLMZo9wBq8PBsz+JO6SvDo18VQi
jqG+oLjuxR6PXf8E0cP1h3k7j9r07BYCPvu8UwNSb96o8YzOtE83b5+FWV41uXxIZ55QeW3cVKvz
My1/qsWdj2zQIvSSp2BYiIphxJ4727nMbeNKEzs5DmcaLiulAXDyjEuLuNsxWUz3s6WOdkjh6vGU
Iu7ZzUegjPXLbn4hxVUHV/Rg0ZaixmHvKqgbm8YXOOSPEwukuIs1T2p3n2Vf8L/+o+ySd1Awl5lR
vVk0LC+G2lLBVKni0NTZE3Ct2K7rx8Ut3hrRn7rRqgJ7aK5NWfK3C7boyG5eoonIuD8WxGKFNrEt
3Ua/ACKK67v0h0VW9wW/qlNVZD+QHU6S3q3m9jboGGRv1OKwL7IkloZg5QsMg5utc4afY1V5iGY4
U4lWn73cBriZLPuxXpIfpelwMOe4/zh+x6S+D/n8ZDVbfma70R3qwQrSpLYPikTDeSsrPRCEer5H
KdlHlrnh01buFFJBK0LX8JTvNc2VsNRKHW5lVukSj8P9Yh21lCPCsOQlp3qNGYY3DPeMfIygZEbY
uQn3lu+bc2vrY/E/uDK9scwlD6RQ70AEDsPInN9Ips+6JONkJ9zzyZ8GvendZ7t5Rf/tBa7bdS1p
iTUr33uqAeAsnEqdsmzveOg3Tzps0YAyHq5j0b0WxkwigaKmn7c/HM16kZU+Brvimb11A1+aoiss
zOl2AxbwvCKGAjOyq1gtqRETTWsjzP7N70grfuTzNB4zC/TVhCBydmjM+huQH5rbC7Oto95Z4zof
CQ/wTvWCxEgx39gG8cKsNttoN6vpF8BM8yZvV6Y7aeLB6Hp70Lx1DIFeXTWcWQ4F55/z0iQMR999
eKFu1cgBw+7c/jWjoHZkffF0RGJ56Cdsy4S0hz2n+Er1eENLb4I4uKNl4BRftQRYGfpXzs25ofrr
XeiNr/K1PBBK6Jn+1QvOOiaJa+oHkSvSzcnoBcDO1kehEX9ymo5ZUi36IW2d9nPlTZ0d5VShXPlK
hTF1sci06cjzVr/u+kw/pW3ZnOs+JmZcRLJpxZW+AVtOB3BgpelazwBV5LO72j8JnItQiGbGrDP1
l2quxrgxCu2h62b1g156ejvS97uCXNGRiDG1Yzdm83Gt1yxY4Axc2zSCI3ajNqGT0b7Qe1K0/sI0
D03NGJwnvSX3MqUj0TYijGAM0fgCII+17k9ZN50Gis94e9Xb1jMqpihen2xtbqK8N7YgU4xCI0fk
o1fYJlp1waxU6FMMWtiGBCbluVNQ3aZ9Czkwyaji53ugKjwR8izMaClsYAJ1ut7mul0wLZbd2WG9
W9gM8i5DiKLAzze+w6iPxWwbACccUcJdnY40CfMra1XqBJc8arxlPXj80DlL1eqiLfI5KnLFXGmb
RH+/C9VFU8EcKg1cNwDEp26f1XFahTzW1Whf8DpbNOVldtxZBxXjjLnnxPUIRk5tH5o50zwHsIdl
EOZ7SWQ5kOv4tXrm8mqU6XsDT+SqJ8X3QnD0i+O4uvdIAMFxVDDacqrsB6NU84WmD09C2C+87HBu
lHcC5mtFQ8Y4PFjbFqgEyU2sAzhTvVcAIHQNbahRgxnVk44WVGsGqmMuYdU1XD7sCjnYWZukBw59
1suUKiPkEuyIvfKYTkrKom4zQZzO4BYGWyGbO7QKwNba4hGkzbqPosxMiCq5fiv63owytqVtPvVR
dVsK7wd1gm8u6iS/sZGwhy0Akkuyg0/0HBOBaXJg7jXqsmnZAiq9tTzNa4Mk2icy6rW2PmoazFdg
+gDDHCM/b9lGUgW3Gri00S5s5d7fl8EiI7qn22vWKghJRaFQOOQPZ4XrltneFkB/SCN67d1NZSZt
UM5bTmSQk5ZLduvE5XfHduDOoGmR9jFrHrPLdAYFsLdtfiHmOa9AR6CoXlTrVDl4h+Z8txW69TUX
Sy/gApTbcV4c+Nam3J1Xg6JlGVmLs9qRmrL8V8tF5tB6xN+8zNJxe9xrz3GCStdUErnaOgJNLlX1
Std8wv9cOOnt4/6oi9Q6dlSNn9RWWiGuyUPBiuNYear8JASUHQrXWEOX7XSR3hB/KofOfkrKhtTs
fO3WhjpX8BzYd8Szg99qtQO5qoGdOS6gHcvZIXZkTZ9Rh6raZ15IPREPa1+hKZo3ZAGvASyWh6Lp
KNNnnnGojAVqd+GOzVtHxOg82rWIQKC0WwiiIIkNO5mfFjrFD2Uyk+0mSn1FNkuPFu2/2DuvJcmR
c0k/EcYCQEDd7AWQqjJL6+obWHUJaBkIqKffL3vIPWRzD2d5u3aMZuSMNbu7KgsI4b/751KEAsZm
uBg5Krsq2xJqeoBvcvAyvcHSuUIIXkzWxEqw/xpAS6uQHPqIg2AyqEFrOhnKFOMwFXzxroNhwCy5
O1dPFmwGoUc4mpR/p8qdEU/tOzBuyzn/TEB5sv5cw30gUQUhrgpjLpN7zUftX7J/4/7JrP4+dhSr
V3EP26naY5ufIwf9EvOdSK4mB9dZYjqYw/h6iLhjkh6NawR3LDIx8+8xZuFljrAznIlMdkHm1RuT
TZuBOiYUHgUG0XpjLgjajEFXXDlJjqGxU89el+XpJgXHwwWhdd9hX1oHYttW1PdUYU0BxiuSavqe
K2XM+1/l+yqlRnjuWr6qIX3FsMHpxgF/a5hnr8A6fa6KtuR6HldcwtMzrsBDNw3THqXWhBoei1tl
QYShGl2EtTYKSlg8eahxFkVLWnRH28/u3YGSr2YcjzHReSPiaTExOKfVFlVHX3kqt37OsIDiTZVX
eARsiPx7yJWjgxTaDifp9fpcwWpAgeuF/+nmI3jixWpfkD/aO8JAw30y+cOrH8Da5pPnXox0tzPH
3rvhLIeRt6MNBUruL3rPF4bd/hCs5nzjrMkak9wv459osJzw0cvbU20nAwN91jwRjsoj6ayL2gC3
nnR4agp6IYfvQgpzxkIbrwJC3czYsXLqlDXTboMn9lLthCnkSsi+i+YaXDSQFC6GYGkbDt2CkaoP
dH1tvOpqcIr8qcBHvyUP2l0SnJiIfZwnLjHpAEyh0VxmNEWm8KKVntS9M7VyX7WmuEEW8fijFenu
RKHoOZ43I6JzliWeNUP9gz/FMn3ugmLSM0d1X2+cVo43cVluBqyRAAzyLTegOMIU+a3X/qke5uCp
pmCBbTdZci8ErQ3vzVxfq3p+WRUuaDkU1i4ds42hcDL77QD0fsEtkzRoQgx0COtkxjP8k2wTZGiX
yO5FlKUrfpp43lRVKndDw62rS5z84IuAy+woDYSXtLcvOMGONRxIbPM7QYMEQRsADgppZ4Kp2vuw
naWacIj6RqrXkKmKcY2Ba2mwwVfoOCga6YMNeO/EoQ+ifu5i/c3S9oG8JwYxb3DharSVYkqN4IEn
b9XWcAsjRMLy9Wz3USRtd+iLhEtkz22l2QA26I8G/SDAYsUy7wpf9WGXIGuKyXNf+b7WHe3i6jyo
cJpnex0H+3xjKW9jkUDfMtfO/lws+AIRmAL46wEsighlsX3yl/NiWRCgwu1kx/a3dAs8Z5PvG3tA
pyXbG3rJizMX3uuwpN4lE6nmqsQicM/g07twLdt+Ek6SkIdwIHtxqpagUIdSBW/j4jccZIyqJo+1
DoJnW2TIaS6inXYq3q18bGh5wY9ufsla2k+aV/g5Fnn7XXj1ysU/UNVN3QmLEQPMoxVbkiw+O8MR
F/EMTlcwGXnIKhrZNgQAFftO4/5YPOndOG1e/iy9NUYxBUKkQXa9QtYmP6B0Ur3nFGEe20ry7/UU
IEOUBhemaMb9GgVt4zwEDTmcqKmk+a7I2R0muERVCP/TvS0E5PDI71RyC4cHbTc1dmd27LNQwfDd
1FbzzBApfqmSqnkzePe3huKTz/k4iwuXk+RhqbP1BVtd+lonFq/mksXDm9Ub7jsqsPxREsePxnbF
QmBnsLIUR/jVHj0K7aR5bA0p2VKI3FTeMn+TW8BxjW4DDkPKUCmf/NzS1faz4VTpBfjm5aqfpuAt
N+GaCE81oVj87OgiM7vMMYZ21zZ9/L4isvACNGX35tdDfFw5a3OoXst+X3AADAdVqZTUoPPI5lV/
jaDTbt26xwdqcQoKHadPthzz8siEfUoYRTQhc3iBdiPizWgm5X5MivwaHwdRP5Z9WMxNCy7b88Fk
zQl6l5NRp0LdR9U+LGrC44yHHaffgtcwktgVr6xhKi/ktPgXc5wO5Lma9jPnkNZFDUCqjsSPhzMd
8lb5CG5NiM1QVM0VCwaJKgk+4ZaqhL7Zc02erWi0Om7RDQWp5xBYWXDOdj3rw8z76Q7BeroFENI9
ANVuvoD7lVe1qIvjqmP3O5COfxUPbXuZSM/AH2iO9rejh+arsIpJhsbY6Lca68lr3vfKg0jt9e7G
x3WOd3eC9xGCdnEhGLrBJmVA+qicDq+hDygW53CsxL3RD/I58arqs076Z0zPdVQrTiSwdYjSeCVo
YhT3rrhdoZO8V3iTPZx0IMA4TxEf9ZDe14MakPWcYFR4QqeZD1m3IwcMw21XcczTTlZ005sA2/o5
zq5BSjjNxmHqyhpBi8fOJip+ArbVe5sCvWI3Acnjbl2PwBwtn83GUgWD6NY3xNXYSQoFeCSsa6E9
BDtvwC/n0Ov8y5labJJevUr4xPmm8rr0Yqz65j7lBwWsH7wmQciuX7Zwxr1PjkZyDIOsWj7yBGRb
VJatlx/OQGcOUnCF6PaYplztY5M9Mxx6NbuRF9TuD90ELkFAjvynJLanJ0Av7GyBO+2T1UC1N2oz
II2y/Ox72GRMjqc55GrNe8IZie+AYYIJCbnp2HLRsWfmON5bQkfKJ3jbGMlycKLUXbCKmOYlIErA
Cb0ve3dPuE6mGw8F2wJx0jPwsPmFR3MYRx22CwH+LVytikmH6TXDVqYZ0pky848YvsuFJzOHXBkW
eXND1C7DvR53H/3iLey60mT7Z3SznOCclyRsB/d17Zg6MMTg8lb1cVUc+rKwP/NyEKcFQzAX3HOC
eRmrem8XoxvBfcNZjx+aYZ5fX0yJZlDmMUy7deGok/WRmt1ExepjhcrBEc8y+pfcSyuM0Zwm6Iv9
tkczODmGDI45bqvbabUhv/Ntq+PSq/5qWehwYFbLHX+BxOYKIzSY9u252zQkoGzVfgMatknZkWi7
TX3nBuc0HMuko06DmGAWWRCpD3llpiMlxADzaiXfnUYs94abyw/DRdqB74yhmEiQduz8yfbSUhzW
qQkQfzHhBuzml0bSmNdl2xj3WNr/yohxtj/87liQuKDYuC3pSHm2T/yDYwEgstdCwffPd3qGp9yY
IYY26Q1Bgox9m6PqDbDt/EmMI1vpvzdM/Kos/Ze/3HeZglqehfHmN3/PahkwJoMZ5LGbDDeB2/YH
qjaZIgjG9vY0iyjmTnYmrufj57SypfRaUzg1FiZ0MfVRtCD+fb9C7Gwx05Y1AyYAc/Zu4hjPvNky
b2uqaJBlKpf0Azvqeuhd2RyJQ69Xg8qulTUyqgBCvrNxapURZbww5ydOwOz1pYGwXVh7ilwhzuEO
Ak/EWkbqkrTw5DwSWGAyRgv1bZe5H3lNFYXhjdikDRb8vKm9BjokTj8isfZffHTWmQzy20cXoNmC
r7Et1MHfUQgVjxIfn+S0joeSe4O4lXJemkjny0VtYlmim+mw2AFzd3PRyylTetkFRLRaHiaYo9Ym
zpKAdsd0pNtIV+42D+zxQjRQ9JrZOIFx5r5bFhyA7Tw/UEfyV+1vvyFCzm6/IHAYaEmf/8afc3bO
/cOjl7GXtGMAq1H0bc4VB2QDZY3rnJ5WY7g359EFJM6Xczb9HmFT6C8mXvqiF2e3HoKbY9ZYsNVE
/rHGt/EXz+b/5fN1JFk+y/JoaPrdJJig4bmmWwX7wkSoYhSZBJcirvu/+Gt+FdL9/nMkvifOrwBL
u/mbGbFlYEwRNOUJjD8XGsYsYPkTFurNTOrtp8UFnjWyAApmxvUGxLp7n3EIBUo2dcUJz05wUy5+
gW2Gl6V16upmsLVYwiJeja3MxGM7FOr53380vwBX//g1s14LuB4C66T00X5+s2kSBocWoHj2RmWx
KKwWMTNPIA7mcdFCek3lc1DcQDxt3qCEk5yqLFKGY5keF1znG8wMy6eTB/OfXah/o6vc/vkV/IZx
+e1f/9fjX1Nd/r8zaTMN5SE9G4n/e5/25qtMs390aP/Xb/rTpO15f1BAzIvoglaxz//7d5O25/6B
IGIHgWcGFjM0H0fh39kv/h8gaLFnuuYvKIzF7qH+ZL9Y/h8SG1wQCMAvJn/if2TSDn538QmfHSKQ
0nRxggLB/22nyGqHYrIAJH7WQzEPuwkbnYYh8JqOw3hDSdyjNnrjvraZVGOjga8B3oU2G3Z+zA9T
Xr5VSLLvEPWyi7gI9JbkqRMxTWYuTH0MCcfMuZtdQaJiJc6s8qm9TQB8f8Gf/DlpRdfdGhjbLie0
5jayuW2DKX7E9NIARzDVi93I6r3x3WJjABTn2FEUt0vj3BdNOZ5KE8IBZobp2c5dsRUMs/ALBGD/
CMI9NE3wClqZ2f+EMlwX3bx1DWPaCxKPzIksPGWqBdi3dA+istNzSWMT2u0Q3LezwVxJD92DrKSx
VQln/gTRGgbW4BxoMOr2sO6nF8Bq1C1ZcfkNOb2+HDkD//TdCtjFooafGpXnMdcWyes4xngqXTvY
yJEw3CavZsOkmyA2fxQ5+HNXInqKzscWa864rhgzNlBNOgqZ7Cpnoy4xvGeYPUbx1pheEIq4nbgC
JCZ9C/3oXDnDCPp48Qr/2TdKdUo7Mi2R7RM/QUJscAn9esj/Z0n4CxyU6aJU/Lv14PTe10Coivd/
WhP+/F1/WxD8PxzHclGJ3P/z2mPGOsOg5B8cPPBj22y6zj+lNkzeesdEGpL+OU3xj6kNk9SGZ5lB
wK9I/gEj/H+Q2gh+354dFh76gmxoVC7O3vOv/8PZwVWO0cJiG7aOOusOyw3lA9+mT06IF9SIh7ux
Kb4xHf1VabXv/Yufn+Y8Spc5rLqOw/fy2+aXpI69umupt24c9F90ZTI6o12HukcHOeDCEiuoHYRa
1w5hkKz3s2rn8qIk23mdmVwZJEOOmcJSOkR52X3/tfGX5sRAx8IllQFe3SSJE2B8VIt/K8uOciAt
xnRnO7HFCM5u9qs7ekcjGYAdUQG1hvU5JlwuGCBnt7+ZEtrW8NR/5CKpN7rAKQWaPxoMPOZeV98v
VUUbaSJYZCxxInko0GP7/N4mBDqGM9lHig8NE+q5WVx7ClBjqOd8urb9/DEJfP6+eJnVnuWsuluc
Zlu0+WVu5+qqaPkoZsTflWgoch6e14zfPME8iipoEx+2a8inwVO0myoAMTcZFqlLjiwONVULZ3Qq
QZgyWQzXif3l1EjlyXM2mcG964zzNl7Jn8E13ZuTpe/oSJGbGI72K4x5O4mKXhrU0RVUENij4d9M
oF+/49kKKFptgh6GfD4En0PL6rilcNBA7g7E0yxWxT9SAulu4tZO7xWzEbQauRSwZa0kp8uAKMUe
72x6smxBxNYxwADTmBDZuAWu56ySN5DdUZHhIjm3ncExGSSMuMwU0pVu5/p2TribAtdOEYjWzhuO
rleRUG9bZhuN1PPlyJhmlxpxHeV9Huygia0npgLtU1f7Hg0BrTKSDbswdhB4VRQqQS4gAA6Kdw8n
PmhuE4tWJNgeqE88B3pAmKq7KpKqDQYsNFoeXG7gyH6pWJ/p7yEYSIlIMgzgKuBAhG3pLzf8/6Yu
tKba/HIMz2HurUcsNICrbgH9oMEKarScSPcuDUgmzV7wUCTenrrJx30yMlkOFQeCvUy9ud00Ses8
O8vorVheFjfeuGNNSnsefD+ko5CAduO1y0Vc4QnEoeu0V1qnww8c3zxIRSdeE9GkX/HgtR98Mtm9
KurgxiscxPNugVazzYhIvwJ4RTXPdJZA469xp7rCHG9d62zyX63UPMBYCxiFMlr7gbSvju6au3MU
y7GMw4wUUL1JbXPZQgC1drkqlwerWe372vTBRk0QSFa2wDPDfQ3G+aOrPDcJ82Rq78bYDH4ov0lf
+oxPbyv9vrkKyhJrkB8k7vNItvc86GKQAadhfq+aQT2B4SnxS9W9+84wCexc67F/m2bPScSFp4Jp
0OzML0Nl5kM6tNXz6OTxnTvb3isUfAxQjD2wMlsTsIGEciQY/uaIXUrXTvXQuB2z5UXjiUR/aJmd
0QqmNsrWlb3LcC7nfO6ksLEpeBanD5qbtqmw/D3iBMCBNFmxFZNGOOBTxXeaFml/309jBzMpEeVp
JdppYqaMWUUKKOIYOcrJwGizUDFhFn7xDCELNCbeDchILlffDyHgp6Oe29Vh7c68aGQEj14vrjjw
gTK+H5ciTN743M9vDRomb63Bc2j5IJwG1Qlv8l3W+PYzP1Lmoi12zND1W3cbS7d/SLSdbiTu3a1j
O9VdiZthu+KOd8PWnbtXtBnYOzPL0NskpPuDxZyfqE93IGc7z+S+Iv3KYJQzUl0NDLxlemf4Fe2K
vOQMGehdWy6MdjjqxF1q5qh5QPndWLMsjBRwNhsYOuM1stX0XIoerPwqS2Y+8RhY7QHEovWWDWp0
IkQpp2WWZdBIDvIkv6JcXt9CVD5PKGaHs1OMUrwFDCNfp2ptP7tkBShTpZolPRMBAdeBosA1ast0
dYAQ9UtyYcaG5eFwt4vrqq5EetuIZEq33LftYzNSQL1XpT0ExwUnwpnWYPJ2EXnJKOHscuN9glwX
R0uCS5OAdR3vVK1IT0/KkztpU2++oY+Ikyg1goaMeHB6/FXUH6DYN0B8aMcTwaaLm4UOi8XBKeVz
V8Qo3/uamDZEcJ+y1GOQj1TbWn58xZPU//BGA1ta0XvPOu+r41iNxWnNBQuxoCr04KYLO2hR6+WF
LnUWPao+p2vGYT6NLDC7nqg3oeePdr6uQyKW3meD3eRhLixUHeCUVTi1grunp73+e9EjNDrXbtMo
q/NhO3IGZsQ+mehvLb7jpKle6ibpj0nh413MPbadxC0TKI31eqosCDkG3rkTYqK9tfnKGSLk13pK
4xCxBdrXyvHrJ6jc8lrSEYV7bYoBZBW4BJH88OCJA5d5FOhC+/G7SPBDQV4YiuWycRfyNr47pi+C
CQY/6HPjGw7R+WxFN/nemAAsr/bKtIzlt72deywriZiXt4b9+dK1kpmWXKqN35hqBNQ7qBXgUyLg
GkZY1Bn1WNqk/EMtNCdHLhj5H5N2hlsE/ZGcdmzdMilxvmDpGJEfZ+uTw4v0EbhGLKNBuNlubsq9
JTNEWr8ZIH705dB/rtlIT7HTMeOB+k+jzfmHZt1lstPcXrD3aGEVJaGT0XtzqG35hudSpZGZdgQo
QNngSdYkLsF/gApi5L3OcmS4kTBKWExm6ewu2R1J5HRm2eKeB61CU2e5aYbWALHSqcK7oW8XEKAc
VznT2kVdG8OhXm5Ur53NbJeKl2BBplFG/t4B0b5uxuYFPT7dkBUgrppjHc8qhQbLwQAOmh5Q6k5L
Kt0Hd7XTKergetBkiFFp16bUom4qPgnSMhATNYMgem8t/6OzBvtUkwSCT+aZSQ/1CLZZRz3NpZYm
xQiwF4sZCiOMpqA8eILHbBvgXeoYGnFICKX2hm+QDuiGnfaoJ0cl9++F7SYxQZIz7dEvkhiXPNIi
b6cNji+cJrvnoRkrbW6Fj4XnjPsympMepXyZho4nqjLrmoNQyYhMCra9HiZoHfqrz3bJBm9+90WM
l8bEKP6a9fW4YgKT8w0N3MArBS312zRbkgp7rGfal6TTlmPWZQZmy177iP+wmcKi988KUzH8sLtR
QaDSzNATw23cyFZL/k7yilXgT7apuRrmA4NaKQ/JSIEaG9U6PU2UHrEZ/0JuLjFqRMgjAIqzIP2f
XC22sO/FL1hnOdFdE2Zr2WEltevuYnAt77OKoSLPMsYIVJQbsGtYLM/ET2eU6cs0WxgCjJUTWx+n
AI0qpjqjoFrWQn1l+FljZAoHMKKLmbRvwonqgQJesPTnQlo6e5LBr3Yyw/cCqNU+G6T5y5iQ3ugz
kzRxoZNWNlqx4SybKpvrQwJxMQ8XEgt3eWsY26liumSpvtx6QSzZcsf4FkwKTBJP++vO76sPGujN
F55Em8ysyrdwLWzesMYLbj3QGZd5OtNssuSld7+aS9ZsxcDE3VjM6srSE58fL8UzTXMsV5TxrPXe
V/nyEjNqelS/wKzZ6szLRgNbNRF9W/1NY5f+kCi8LgUCCsBkY8dCRRW3m2/bV2BaViMF7toiVeAG
sOTVxMAfmMyvibfFUxgW2VSnG1Mv03dmePOmXTs4YyuLStjWcasBPJ1Js3GdpBwqh2G2Dhr0F7Up
xbwc5RlOu2IsG7kHsNMSGmP24sjFTtnG6q68Bpauqw0ovVEANin7bWK62QMELuO+WdZku3q0wq0V
YJgIk5y3nSzmwk2QEx1wOo32W9aucSzKmA7PeQGfzUPsBo9NPK427WMLJ0E2yrJjVgctDnJjh8Mx
Wd0URb+l0W9jyIWP1pPNkznAmWkh5rpbXbTiRJFsOm5xPAfEdBxVvizaD9SR6pr0C5AlWODuFyK4
NiqOiCaI2SFMJsbkQmMWnxR+GqtKmsO0LHN7QY6tfq25GWO1sfv8PZdNInZcY52baSlw/NhGTdWz
9QtWnJy5xQGkbCB7te/bVGbFksVBmjS8EYru7np/om5sqHgMsa+uHLARwJJIyR5zn4df81SiAlHR
3Uvx6J2pXZNRfjH3nvG1zBBXwt70YiblRLjJurkJlM2e3q9mGDlCknAO/GNGkdsx7mE2syw7xcWQ
Oz2GjqQtwCdSzQcyh2veOLf5PgMRfTH5idNGRpN/up7CCIyERHVS0Dt3bl6fYFQyaumaCwoZ1+s5
LZ7S1a02A5evbWNPeyYa5T5rjGEDvsUKJ8u9UbwAN5kR+1uwUYDpSrxpDfMO0gEjvdmLNxRbjfs/
ZCyDfVCXOpxHnLkFqKl93Zn13STprq4Yj28Gk1MjNsYFjMKee3Z52UBSxMLHXQTDAYcLAuUkQXGX
1U150GxsUc75MlHFdFu7vXgmhAIBTUKI2FS9eqnjEdp0BtxwBI7NYCVfdg64KS815gl+jXYP1J0F
F7EXMxufWisB1gw+cxPEHTBHs2BMD9lq3Yq+rK9TH+okLtVJRg1pJ6RJv/7ySRJ3FB59txi+bpNx
HMJhrIO3xhj9o8eQ/dXq3OTTZwONPD4g3ZeYQAepRRe2WZw6W/7EwrhdoR550WzTL82WrNrHqh/E
AcIfFLuJhpVHG6/aqYxrjevNaA+em45PLYUiP2ItwKtYYjG+R+3V6oddcA064yLp3aljX6z7Psc+
y0pqzZshgxBGb0Bbfhrm0F8uJtTQcEwDNrB8JtwdAsUtph3VkRi3gCLcISv7+Y4qc73TzjRyxxEt
E3GdmRCJHJOTwqY475mt32YOqiduAshMNnU9nJHUkZwJy87Al/Y2kFUbqefMYILNYG5iln+Cg8QP
uCZQ3WrXc2Q1Sha0KGtbh3Ztuj8GbzK/Wge62kZaQbFsfOUHF8EYzAFJp0klkV2nHKInu3S//MSm
rgIl56TARFxD8ITXRo8qB1Nt5u5HX0kIQzLpsjtkgeYwaNu+l4MYUWV9wZIY+xjQEnqAYF63ilAx
RDl4k1kWcznP4d1aIU5XcQn2qj3Q6c7pafDTftlRvzF8DAuz+v3/6KP/L7h8Rt0BE9X/fl5y85mp
9J/E0b/9lr+R8r0/mPcLCT9BgI8hqPH3aYlvMvfgP8TezmMKLl3/NS2xUECdMw7fEzgcfo1Y/jYt
MT1mLGii/B7zPNN1gv9EHPXcf4E8QDeBY8Ekx7e5/vwuUmaj21FFNqy7tmzIhGMHYg7c0zh2lXo9
9QqeCna6NeNtUAEM2VplFV9SAlHuYnjAJw5k5hYNr0JIAibcsvonOrS4nuvQjyev3zPx669mqt29
MGiGeYuW5JtRnU39kU2re13pxCHtDnqMPjJwT0XeHzRdQ9tRaVyuXVLfZNKTA26/YQw2ACLQIAi4
8MQ3i2QMQJYGeJXll/KUzVkM0BH5Zhtr27iaKPHtOEnQ+hBWwWx8xUr31OyhFP7Mgp5zgpj8q8bJ
s2OjA9acqlibS9+x3Re2ZBjdrEOcjs9yJUMJUoJIarZONmNe588wFt6mVWRXWZ89YiyFmJxU4wVE
jv4dySQ9SYsep7gfzvcGWV6JLLf2M7H5LVNppKilxgZE5RX0VnExGH1JSqRetwEf3dYExxYZXY8t
tk6n+x66WVQE/pUPme4ETDKjErr4BNV2BvVBI459J2eWD2fL8cblB05Y9zJ1VuyCq+CsEJEj5dCT
gzM5Fk2GCKGEjT1BaS4wsAQc/2QMCUMZPrSzE7A0TXaFmWQXUEHPfzKTVdxSOz3fU3dYBsBYM4sk
Qp50N4U9c/JgbKveGy+duosJdfDkJomFNbOZaHbyqzPPEPvLiFsnx9k7tSZtMQWMRpxintRYcNsk
uFUQFOh1HzxJKTLMjyPqbx7FbVnR8Bb7ABMSXWXZDs3URtk6O+kCZV1no5H/MEZt7WI11Xuws/R8
MkojF4sG/dQOytk6pGYJJFTjzYBBjh8lnjCoubPP0ZRg/vhA6CDl3pbZ1gt7i/vctCYU13bqzbsz
IeXGtSS1Ck4fNwfteOWhCiQR2Yks2suAn/9nRzPWHbZcRAAjTToiJjSvXU58S+MOPnizdZayB07h
utl9yiH/QMesONAhNu8qjMJlFBdjc+ha72wsLQdMhg9Wn+mIfW7nGekzxJc5aoplvKafu7swlZe/
zV6nb+k3HyNHErv2YeByf7vmZmiyEc7rXQFv7yrHYbJzjZ76cLPqEB4R2falg1a708uc7qeeiDN2
PAPVr8XXQpwpyHtufaBUN9IQ05eXx28DLurLvLPrq6kL5ouEUV0Ov9TrDpoU32WzzM2xXpUP28Ey
45tcMQwIMW3UJ65+0Lytycww6InMu8NpqJ4JvaS09gJyvVKB2b9y1Se2a/ZYEELPB7XhtPR/cUq0
6AskPelCbyVms/ygbSOzH5TfTRvl1M1nGdDFkERmR/ffpc+zT8DO7DgTvBhJOs8Xae45HCiS0aeX
15akPG03joNfwRTK5xYYuRT1Yl2ZtOdXx8zgj4+QEZen1MeOhqexeuEgLasjBViMlEVxtkkOjoZh
qlmm4S3bpEIQI8sX2JnTXge94UQs9s+6C6ZLkynztTGJ+qnsHQJUieXC9fTLWXx6Xu7tFSTZq96i
vnNEvGYklXPQJv1l3zTmvPys6WR4o/6sjLzznHbmLWKFbZOdnw/t45RZ1HCUYuVsHZWyaz6TcWju
VunGXzklgIfC0+tnP9EQXVuCPxi2MImZ0kYZ2ZOHcdQjBZQkkqWn/CQaSA7P9wuV8+PWU7gKdwCC
V0kynaTAGaQwbTPCUu4htmYiGpWeKkyhlddaFxXHpGrrWNnEkJzebIbE0sIFmJ77V+UvdyCuXJyC
FiUmY+RTuXw1O43B9pLYuxZhmYGHhtkEHLjZL0GzRoIubRSh5KYk6XHZ+9xYDDnPc2jIBO2VjSes
JtUetZuvzL3OLsdlnqsrMOvTk5N1yeXwyw65Sqv9oX+ZJHvGBWWoppmCTU939ikhGb4SOzk7K6tf
Lsvil+MS/M/yIZBAl3AsluBn2hlEiducCy5KPFlKQiqipjnWW20L1+ZCRAt5hmtXAWXxnrQCsyPq
Zr30FLt0cnDj0knADgY+4sZrRH+aoJg0F/naSipHLTldkWufDrbDLcdURnWiKwLnUhwAljDyeY5y
UDEYydLh3ps1iJCyF+/dsN5LNGEbBkSsH8RcUHNJ3yMVBiix3hhhVWVkAmvcfe9RGctN0c7uCzKY
DiKCUVzmaM4d063u3NXF+U+PJmt2TnvfMi1fCcPbJ8ccpochODc4N+MyPLi2CE50w3GDNix5b6pO
vhgqqPBQ1PLIqJUre94nm2lartagJEuqXeDfvlNcrvjNrYEX9ldm6bMqG6af2ibexpdI+Pw6S6kn
jip+lBglSOstO9VjtN7LUtrf2EwWvSNnXS13diLSJye1x/OfLvxTYVZuss9wsj7lM4nqnSe4AwL9
Ba+7JT8w3CDSMsYxRit4acugOpiQnpuQ+EhnHxzDHPHIU6I9byhypwsRlFbhbFSh+EFDusurGwWl
ZNj6oyrfwEaImz4Hh4l3VrtYYAnOcYYIGGUJr9RvHUr7jbaoL0ezooiRGa16UKs03rmdY3R1tPKy
rU4SFhqBAYp8sNVRaYckd8N33R3jlDjgwW3FxPA31epLlSnMZSYpiR+SPZTeoVkGrHi9xgQa+fhO
VZSKlAXbXU1DRflQTVfeLNqV3msGD2HimO0ntVBOEYFGao6UOpAKlVP34QtRHlpMWh8awRTBeI7h
vQ6W4Zy1n2rdtg0yf0htRvJGxoAhLP7KF0yLlETSrZ5fjWbz5E8dHJ1SZYm5ZdLvnLjz5tu8GnO9
Sav6U0iLGxrDhNeVZOJFD3OOF0u7+nouQPpzkauGMGZuwJoC+DYsYa7Dbyp0dwuyc+WVjwfMJaUN
UYYqzk6/ZboAIJBgkjN3iWNNr0taWWVYFGaebA1fJidD+skTg/P0i7Itu4ricSobanObFeDtWvPo
zUnVARHoW1hWlsYK0ymJkdrER7CJLULto9bxM5DqOuzsFFqvC1Slpe42QsdiVrmkew6khwIRSIV9
ntc7HGuI4QLWELrJQO2NPxHVrqD/CiYm6SajWOVlygJShMkwR+z7rCcFT+Ux8e34MCRle9ngVHrk
tk1pzRBXG9uU81vQuSXxul50P5O+8rNoTVP7Y67OmctxS5pzfQPN/TXSiIK5XSSUwFn/m73zWI4c
SZPwq+wLoA0IIBDANbUkk7JIXmBUBa01nn4/1PSOsWp6q2cue9rLWI91k8mEjPjd/fOOOfDcYbSw
RkbQVG3bObyVdCSERApoO1K+Oq61ptKfDIu30TdqPkjRTYMpLyZDiv3E2LEiGpYk5c5vCibHvdsK
1AkiHG+FLwdA3zwgVr2VM/OBHqPRoZu7xQ5aEKIY74D9ACbxNnfD/tFrhtn9moh+W5Mlbwl/HtH2
GKyVDWahnVanzkBMM2Pokgm3v3fiJAOxXPJHmypO3xTS55MIY0uukIO0TyT8lFWnQFRjZlvd8ATS
Bd0/ZkEEjyzWRS96F5AB7TorAdvxEkdZdacDpIFsYBOcZMaYlS82MgxadAGKZMUCbXx2nKF4pyaI
uwMsd+keufFYGIaEyl5du63vJUkHBvimuKSDUT9gN0FVNQu8TdCi7JH3rD/KZQd2fotLY9hx9fTB
JqXw9MNqRpfyzCl0j8xYMMPr6NoIhgAaXJ64ZtatohpmsNBFsEsgdfmUBSv/CbebjS7dZyj2bcIJ
bHITPZ4lm/HqOnV7MOyeOCNNYcmCGSZLsK7xWQ+kE0PwRCfRtGBNyGzVHevT6NlAZEpiFIB8gc+4
2yCz0k8eEowZ+16dE0ePzNU4lNmaY6bnS9hfwxKRGqLhEGaU/Bpe/liT/jtys1rLMEQf6grTOBio
1wvHjAEvypbEDxroKlBwF1a4NyAOGHZkwlafRv8hAhn24WNI4aQHdvw2wDE8VQV0V4wwDtJOV1fG
m9mGxWrQA5+gNGG3YmTfSD1GsaY96VgBJ6GKCrK9awbJtRlN2SVXNogrvAc2rQQJDxb0hH2PP38J
8ql8dRNdMdxu5QtpnultSMo0Ib0xCwpuFr0VIgc8MCT+XZsa2GS9VL8Le5/9n+IdctXhwui3gv63
ZklMhho3biydRmkdcaAJq+oouC3WQ9o3c53vrqf/d5lld1SIIOUjmo832CadZW4VZrciI6KOow/5
fdkOUM/qwAx2A9SSYFXZyTRjoevgA2GSxWLOULOUKoXeZ07+RqYZvCr66y62QV494QTcu7JL7nhe
lCff5GuwMjLoFKMdfsF0luU9bNh70WsHmxPqsf16VhFP28G1/Lsynx6+jD/+9NZ+5cP+3FA5m7WR
j1HewWvrrrLnscZXw5VjcmAxHU7buDKim6IH6kwxuLFCp1cHpBp4ttkQ/A3V9F/DCUrH4K5Il3L0
DXM2wX9xeQmmgJOnYoA7gZ+cWGU0FxQjgoN6FNwTJKN/exztfd335efvv+6/kkdZTrDU101SdS5O
+58/uZASh3laT4xfC5OljiK9M+SUlFejScwmcb3s4/9Hcf/OKM4AswLqdz63//s47v4zeYUxnf00
kfvyk39O5Yw/fhRNAgDg90HCYiz2p2VRQZOWDBmwcs2Dt9mo/KeH2XD/QGHgHKNWCAcnF5fC/0zl
wFMziuP0O6zidGnb/8lUjt/IRfPVN49h0MQa4EDBBjrNQPnniwqgdFibEYXctd7c2tQY7VL0MoRw
2W5cLe0/IweziUZuAvkhHZdqSGq2kLa5sydcPG7Os3vd2SgQ9P/08qa2+2ZjTF62b/B3YHuOhysw
avbZhHC/1zw33zSOJz8q4eUblJ9I8SuL5q1mRl6fo3lIyVAwtJ9s6o0emyKrz2UOBobJXUNLWNWy
DFfD5OzDvscmNuBLpGUwQlyI/R5ptrU0JI2sf8dJUK3HzDk6cd892fR5kMkvBDs6xLxpAdreInfj
hJtSm6CnpJVV7fs6jx7YaFpkG0q7J+CYDOzzWeJpxAJdP72OB8vK0WCMgneO5spz6zlhth10JR9I
aHbPLs1HVBGosNkXbuTd600IXRl7GyS0kLqZq5FtY87KZGDz0QRmeE2mp3usMtjea+aHSHw6S96u
H6+M0eh2+DP791xP0xcNRwH170ldXzfxoAWrPqNdC/OGJMbbm6fGNLX7IFb6k5ZnKPK8+7v9WHbg
E2kiWVemjyozsleE7zfMf3jChjjmb2+DjMC1QxsF09GTTtNhsOA0Z292W1CpE+jYYIh+Cv5IkhcL
Fir5NtYj41qkPHKWsRpHbI+8aklp08juS5vAme3wdhiNCkyY56y6uj9ATdbXoqW9DUUyuG0p3F70
DEyMBeUF2SnVcJZR9zb1r1BWo0M/qh5KwU0beaz68BXaaWet/USpVVC5q26ocTwxQFm5U2XvFPOU
R/SLhherVh4NCBC3mqbSJeu98po0jb/NUwBpWtOb14Eb6+uENpEdbi/9yBn19kKrS5gBsf5STtN0
CCzfu1C/EJ3HiAu1ynv11sTZsMEjU+/jnJUT2vp9CR+5d5l5eVEbXPCjoUu5VfFQmLm38VvHeg2R
qY8hLSNLFNZ8Y4PlI6Naf9P14jnF4bAw1NCxy+8ea7cj6J61Dct4elXCuxT2bjVEl0IYyzaQB7vY
+GrCwpMlPf5XCBdlW7Q7mTVQA3QhYrUoaj+85z5g2sVW9daNpZ3t9GaIDglTn6da6c69BdOKTbZp
mBjtUvwWDGDnyGRYzV7DUi93MdfUlc7hoxK1gY0A4zvcp67JUi7Nbesxw2BwJVPH3BlVCdCEqD1y
p+rD73qXFJuKnQjp+cGr3/QkxZHSolGj9xoISk3Ig8K39WreK9rjJSAsfGOVsU2o09MNNuiOfymG
kqJyei/C28Fx8P307LrWJH+65xmKcRWGVn8Y9Uxexb4Z4nI2u4nfhKCedK1xSyRD7Rxy+O4sEXf3
jjuIhzZV/Q50w/jmJmF6PzYir3aCyOMb13f4PbA702R6YJQg5UYRvBpeAhasxKeRLbxAqeuI5p31
qAPxnLs1zXIT51G5BRKBhZZUfLAtwEZcB3Fk3nepgH1TSXGH5cM8VVrJjJqDYl8CZnnpStgltpmq
Ac/S6q1/PfWRcdNVPiHDPmxOTVCk7xGXMGfVM8UjqlxzSmIQPJ4xlTsklrl3L3Gusiyd6OapKErE
eufpR5sl184te//I9iE6YRmlLs2REuNnpRnGPfbgGVpsJxqBD0NdqbhJbxh46bcopcQLC6IuwaGY
evXgJ6luYhYeq/d+mqdkKSYNRcNluawkTTCtc4hmf9LCiSD7LNyhqyAo5vEWu0NZr+PQCQ7Q9YId
IIcrParYbxia1FaFiUMlcBtjNzhGiggPaFBy465rBq5bCjaAxvZTdlfjPFqQhqwxYrvXXRT6ZzxA
zntsuuG59714Y+CLPZRV0x19OxW0G0n9LZ7go3SdZI6VeUDAUqmOtTdyDoVvnzzoKTTCRO2SZ1F2
zEb6apb5vIcg//1G50i+Tgyt2plWZn/TgnJjO+03gDPFllsfcwgmjKAUwUqL4u4DPORnBJFjbdca
HCrcnssuB7JHPwrTXavcylZCUjHCa9J0aiU9W7vBc6l2OEiyva95B92vJCYYe9DXTaKNTyPUU2qd
8XDdCA9BDtO9VqwrS7CgTWD+qIEZfudsiAk/Jfoo9knR4J2twrdIY+hwEBY7UJgzbbyCjt6TdGmn
YdPgLL41Ois6IwkVG7aRzVUlxFE58qUdih3zcPJx1J0tkEFaqIeM9p1cnIggTQ6RZMYMuHSpcGFf
Dv8zV22E7RwDCNvZOZY0gEzfhoHOP7YEjrYURB6wdrUoKpJGzNUUoFmuDAdoBmy3vth1VfKajkl6
sBO7fTaTonaXOAzDczQ2HdQ0o9SXmamVt2UDEGEqeychOO2wTuiG9pgGfpxuRMror2Z6zTBXMz9T
embCNa94ycQD/BiLGc1PkFVAlSMw1LwH0JGQa0aBsXQ5JZH9nuV1e63spr9mk0bKO6POSxFUWIDG
HpeJKc557lzztSCj+nKM7s2aId7Sc5se15rXD4+eF3yQnu+fJ0m6oW/OMnDaTVyXEd5qr7wNbWp/
8kam5rKCYcmXystZyxI3kBSmZzo+MLSrZDhEJpDXBUNRCOk9aX7Q34zVnFi+1SL2Xnw+eOHjmVuD
m6LrMtXUpjKL6iFXHZ4vO1knONYPdpW2F0j5/mMs02KG+cjvJoPCp76zio0A/4T9LsGdjowPEQdy
mwQoVFQFFM8MF5mE/HfhHYC0kMTwnySOWcGC7DGcVHzAxTgcSuH4K7Ms9X2RSkIDhZKnqYMet3RE
6OyDimMlgbO+i1LqO8dv6hW0Yty8KabmVWrIbRzILTzNh9Fmx9JQla4kTW6FWa1EPfffYr1zhqxE
003bddtXn6YFMFfmXIrxYK9h1uNmKLMVJY/pyrK1lS3GG80scRnnvbWPi5GQWerlr5LnGc4jlhSy
Tita1jN9UzRhzhtGNMxCHOcG1rZx8j1qsNKi9s5ZDxmC0AcDgCSjVshjN49Od+V37VGI8bth0POz
6HhNQXditU+BWL22kETihWCpdUV1s7Uh2l0eG4IVW22C/lH3vFVwmnT3DfrsAzIyHRHh0G3Iql3p
s09EUXKywq8RrTzIZWgGvrkGDmkvRsoANyaPsmBpmsMzP9Sd8GZMbxR+kzyJ9GhjBX520oH+fON4
Y5ux7Jb0cVGECr9obK2lz3gAjnRwUJ5SN0XHu9xrcZEFzJavBfri1ehN3o0OTv6UAt04oQ3FzBCK
WF64QwmqkMOvTuxD0hvwKfJz0gd/aTVeRrxRGKD9hH3A4CM/qexzzzZMmUUI5OvOrMryKGng6Rmj
ZuEzqkZz5rGZ7JmkoKiV6h0vsbtTGdZu34raq8YynGeL2OM6i7KMgDgvetZFZlSci7GEEF9hTIQ8
54N7CmQx8vRowGNOQ7ahlr3duZWy95pU4y3Vy/UEer895KHyVpkGLNcc4vGxN+vsekiDp9xW3oUY
YPzc6065AwIVYg00tzi04vUIXWujQttYUyxG52xg5FeVinjTFZ7PlNo06Bfm4Yx6EKIMxfKbzlaG
w+wwVW954LF+zJ+CLJQvMH3iA63TXMBVbZ0cowHgNPltC/E69IMbX5DmTxlPrwUTqndvTOKlHfLe
8+iiWzFK6za14j0+KOUfc1U+2E3nf3MglC2BB+i4KrvnqvL3kx9vU2BfeyNNXgcari+8UclQmSx5
VzoywFxlvtJ1GsbZZkHkK/p3xmntfewW6YG5IEPyqOv2RHCNA7JPsgY4gmMpjb1dHzhLVycpwUA6
2qvko8e6/uEzgdhHM9yPJSxstj6p3kctGI8JXn+KjIG8IMXm2tZLe32NjSzfZFPP4bN661qTzrid
gri69C1gqMDOizedC+YKim0HrbzpcXvComLrw3KidDWU07E5Q4KjxM4PxzvPC2vWC1HyGhvuxFfB
jpBmU/DOZkzsOwmDMPI0wO5uUz5Ql9zfxt2kqKDJTOOZGIj2klJmsYE+Uuxwp7rwwN0E6+40pGx6
cI1cKidtmOSTVXFi0qSd68YbpxiJgc0y8MROrguhCnK+pHLjpxGEFldWD0Rdy2i5AXOGPA+HjFdK
jmJhz4jQLnS+uyz4u8Y9DZQkMB9Dme4yELuhWLI81Q/kCXRQQ+ln2Q87ojn3Tuvwa4wuvNA0ry0Y
Vo+72lH+hmhCue/MvNnD6G+eSz3vXqfOqNYuBkpwRMJFK8+9d401E9PaNmuXXSVJx9u+hcGmU2em
hcXJpg72WTley9pIyj1Mi3KLNQPkCIFADX65oD7bxcKLyG5ow6nMMh7xZQiDQFCLSgcBDBeW+sC7
vSpy3un2sK2FVxNIGBNPveDit9VCA/v/WLBEWhfu6F41/ZQ8lUMXbkdQTjuwVsOrnQUp7w5gfBeg
yDrPsmy6QTXtDrGchhutxt7GYD/GNe0qgRShpv3EpOLWTd3q1R+9cGtXffFU8H6bVT5zT+t9uqY1
ojo7jdBbBAByOi0UnpXwyvymkQ1Bjzbvqk998rt7MKq9WhAfq8+2zO11347wbWH+O89UzkLkq8X3
kMDXwQqCGSMF7vRChliHcWqGtIHGDa4DjEQr0K/teVCTOFSeEBttHNOnVsasXCeVXDJud5ysSX7l
kT2+SioyBYuphk6aByB4Fhb+lkusmuKaxTUKBsGQcUddC4+akpforZ+X0JrCQCb7wqYYCxJEdRcV
rGFBUcfpjqIDa+WyiznRfeAvyySrH2wdsTSf3ZZjHfuPVuSEW6/yTGdBnQZz68wWC1n30yFleXYo
y6l/wqjc3busQm9a0fM2mSLzMRVDeHA7I3rzVcu7CG7xlZxkYWJb0v1TZUXGOatphg4MvN0ySuRe
Lzr0GDreRb7Mad177SwKfhdubOqvqW3EdDSpafhmxWTyKMl28c+qBq107ZO7PmpTbUCuokdvUXra
tCGiXZx5jxfPweAVj50q8ZIWFhsDp6lRJER+bdIu9IDxQR2cSsLIbzu56jWRXslyZIkVkcQvFyoK
uydDNfYKjTG49qxBbKvamBQWndh+nsgysWjQ0T8KJzlqsWTVGUaKvtHWAudTetElqm2Ip6PzWvRM
QIJI204MrTb6yB6c72EsRYmNeXYZIbAh1vdaXOPuZ/ZgpJwlA4MxsLYkhYCvl4c8rlucE1Njv2m0
aq8GnOc+QXxMPAv6BNEsTaOA2h76RL2AOm1qzaYcmNrZc2hJ/lgxZEs5WDj3/2/nv3Mm/p3yV2xv
QQMW48+M/IqU90//Z/1jKHsDQnO8/azRSf8nhT3/l//uv/yvz39ntGsK22YG+pux7msaJv919frR
fo2h//ljf8509T9MhrmKya1EBvhSHgiXgvm8cG3sCYTQTfVlpmv+YblUB+ozokQJRxLS/nOm6/yh
Kyn4KctCtKaq7D+b6f4y0QWcNJeuMb/m09DwZh/mF4GiKk2ntQdqgUO/uBheSjhSK19gXfrLCvat
1sQHqx4mDFUMCb8cqb8QZMBo/PLhyPjKRj7jmJgG32iWbL58OGgG2NOK97GRaNPOa7BMaQ2UhnkD
tGhwTS/YfAmSyJS3sBIN8c4YAPFHYPUQspjyBA3ARx5M03DVSTRGAg+SVoZZwGM1zn7fnXmRtXs2
w9pZtdWInc1Dfh6p8i1WXlWom87VZXwuZv0at9a9Gcw4M1/wC9UEoXEaeuPayg3qiFu7PkPUAL49
P79zSGMbyjgKAME886+UNWn3hl7i4CtSc7oh5yhOwqm1e4WvacmE073uTTxCCuYAdiA924aaNj5E
IbFXYhjJwsCOzQjcbrdi1OXR5V29nZuP95NFV9dyqGjsWczydLyzVClOtD7YNQ+GsO33Wilz88iD
r6SflenO1g8RGiu6v4k7BqPz4swAa3p2CnFrugSIljVrQNzZGkeNxMyORsH6xE4PhTAug/QmNf2O
7u9Rf86suibML7VsXDJs5kdd0fdPve+zy9ecPr3LzPpbW2py3XliDlA1RyezjgDlix0B9Jo9PO8Q
HH8vdqu7Z53gls1ghWd90tYtjTDUUoRHZNih2U3pMFy1OD84WXF87FBdtwmb6i17SRKGUenkpwzp
eR8kQ7ozu6C/94mOb12v91dkvcDN1462nlpOdw3665VwDaCAjC3b0lXpsI019zody/7kxmSuYza0
LL5i8NyKDa+kf5pnaO3wzMUq4nLnkM1rWuM0slEpllhPsAtGvQeaUUs4/RV8e7fFLeUrnAKZRnFQ
Z4lpZTdt/Y1EivNNxbF+LmDzsj2QR8cozUU9X+eMKxkYQqk4m2Pl3nfYZQHKt80KVQFirj7UK5m6
GGn9MhgWnMH6XomJeI2UVXzn+PgTV51E9siXo6vVwSrOS9DEdGD2L5HTmsamsB1BuKjVAXnGNZ3Z
6wDJBQzcNBFENnu8oxuMq9OVkynzLbO8hhjfPFNSWIi3aCHjHeAx9Tnhmb1Tfe0+NE2N1WIMWu0l
CsVwCtvUuqcnEEfikA+lQk+NXaCNbCoqNqjS6zeGptGw4sooWvYUPfiLIcZutseI0b8V40D9QxcJ
cYoqozJecAmw1FdyXIL5cUruazt6q4cqufRpFK9Kv4UfGQoJSLzc1+yZaE/pv08NMGZ2Xz0l8Kb5
HaZ98RHi0d2N9DSdy7gN9lOFUczwCqQSvzS7KxuU+FGXYcFNPRjNg90L9z3yTG8P+3FaaZKdVoYm
iy+gTiVempLuMjYY9XmizX2NKQLGPmVp9Hz0xpWeT1SOMdnYtH0efhfkQNc9ZUe3GSGXO9i0xmvq
T/aFupt26wUeh3Bw6gcaaPJt0kFaaPD8PFFZVz4S8jAfEJOtfVAzkiuKERSCjLuYfpU27rdFXWOD
Z6QPgYLMhVG9J/Sm+8fArNhIpYx5rQeRMzhbU67mPdGhs/WiMfjueaatdtbIjG9tBAxIdsjuk7Vo
wmhc48HZOFC4x4Urp9RZRW0FisvXywz80DBiwTM0t1oNzKFeudIArmdM4HggKZdmHi3kaYxpGiNk
AMk42qgCE8vKnJ2XrSqVe2qKMT1M5mjUG2COxoznFc7eKx3jRWrSvRAK7PalrrxvtSkqbzXPJzVo
/H1IEY/XcdtgXPFeQTyiHniN2x8xs/TEsLNG7YlUwoYuo3i6MbCEMQA2ibx5PsiCLBqKq6YKanEI
qMJad9r4POLcQyyA7LzNukS7y1qz+CyZ+e6pvQvWvRJEWvUWotBixFhYruwxzZ64+AnypROhH9SF
2DW3sdfgCAPYyH627AmcsSUrm5pUbolXGBe28TwUHam3JoiN2WiTgXZoy+aZHV+NYhMX1jdiPfpT
CQWZXOAk3sO2EUvTmtwVM7Fqoyd+fd0PtvtRm1N+pZeDG21N2VCEYNggzJfJNHtS/YGQPv9ZeCxJ
BedLv1DmPXwTiJu9xU2/yK2m3FF0wB9AjCAmcRBMPWkuA6vuAvBrykaxjouCZ6bF8wJ4VJhs8XQj
ynjIuulS2CaDYXRRVLXUziF3sFylrmvGefDqgfBLAI3Aez4A/Ihn9EdcAQHhlJFOncEgVpywF5xh
IfD64IboM0KEuQMWliQwNUrU8jS7lIQgmJRxOxQzgsSYYSQM44OADagyr5k42Fd4wqqlXwr0v7Hq
eZoSZ0hRMIA9tCg7yiGlt6Q/Dv6oO8NQNGPmovQ/GCkWsbr5RqewCXedWPu663xQF8x129JlhDk/
duvv1ag719MPCgtCGKT0H2wWEiLBE0xia+XoeXOjxfi/Gnu4BCQ2bhlR+Y/GzHvJZ/KLV+k4z4pA
QAmfyTDBzIihMiG4ZuzKbStmhgyZlu6dXoCYe2ZGzAgy9mxAAlufcOqZDGMsyVZ0Ck4YWNdJ1fFC
bst6a+k5+BolgvtuJtp0ZHwV2JQyvhI/iDdUmF9ZPzA4vdLQwxrC5yMBrmPgjetp5uZ0SJ0Y3Tqo
91gOWZNtwpmywwL23eo09j8AeOKZxJPOTB4rKvg8fnBunknVocnpVcK4ywSCWd8GzxAbbSfKnEsf
EGld2LVhkoVFW2APaRf5MZ/5QLzleqQLLirWQSyEvqczS2j8gRVyZsKQDYqbxLKJq3XRIx4DIQpo
4VkIrLALuI/VJxlJomOWEzbvDDnw4KY/wmVdRc5MzYkzhh0dXkloBOiGP0JpSSezeuGSgO/3NBAV
/Gp/YrUWp212Z1ljeazHBvwzoVpqH5UveR8Wbdh+a2QtvvUlNR3KdyaiyixVKAywW0ljnuNYFH2V
uv2OD0DdWNjPHw1wSuyeuzCeHZMFPkPB6mtNh1j+UPppTWAHcDnAbnpBLiVCyFWsV92uypR1H2Fy
gLchomuMes7TUMdQVAajpWkqdmxSt94QQm+MYZ5z8niAF8sZwgKiTMbVpxuLMNh0k0hx0/XReAdL
hAw7K3ZhLTNaI+ROH/Lq1GpuUDOszPNTEKXF94bwL4/4CETlfF4snqsQ1qmUsy0eYmHXy/pUlX3S
X2ephQhd+RqMZELQ3YRJVBu9a5AOTraKcGMT0BgnDlAUuyFebhbEciPxcd51VB1qhxZOj76OOiG6
g2uXKFIER1l05Il7aDuVOCx79IEVsO2B9x2tGBI8e3tWa8LBIdWLbyrQ7W/c1FF3MKzKPEKjHU4T
D52YR3qsHsbC67LjQGlASaqzL9G8B1eagJ3diiVrMRRHJDF8zjiShxWzAYV3TmcZRRQ7qwFesHPo
MMzZJLg4J251CEaPapSkix6rMenC0xQ0eE9l0/v7JMezFVSl9qkbkXeIPQONQeetsh+Hnkdx7gTR
k9lbpLbCWGu+cbaLM/CAiGq61Gz2sLfYgtSJOE4WYrcrveYEMjwJl/Snwb3mq+NDYeC4HGxruCo6
mYAwDkAqkJOCjrMq3FLek+4pKQz7/X7MmC1hX9097DJdHScR4ALCd5Y1u3++bMcy0TZtEloNyrGe
7PPGf8vC7K40iifTTe/ISPBiVYELzS98qaNuuvn95//KJZs/nkiiY7G6I4Coz//+y8dTwSpSZh/N
uvKwruCzyU4c/OT4+0/5saP99VvOPDjT0Pkc6f6y6RzrqRP9ZLXrzm/YE3Zt4S+VZmrOzgpmdnTc
FUS7hJsFHxmvJ+qMqMYhHd8llOcMo9yPWtae7CJtbmMspOf5kEHM0gWBmmJ8EoKNQhjbTF9a3ovN
xUSF8jY/vsT/UwH/hgqoXN0UJrOQ/30is22j1+q1+TqO+edP/ckFtP6wFAjIf3rs+H3/MNnZzh+G
K3m/AsXjhFGB/U+TnbD+UAYmv39MY2YD3j8HMkL/wzCUSfDKEsJgSWH9Jya7X+8CaIUs8HVM6q4h
lKF+8W26guhrDeNg3UgooNRFjuO3QNjDf1hMz+rGRuEXNlZYwff65WNqW7fx8WX22mae+tLpmjN3
3/p4t5oYGlpadP8IajOz8z/zv5j2GL9aYedPtGcHI0MteH2zS/Hr7e1il3La2LPXyhhcVkgpfg+a
pAOAF2xAEWntNLxzWpjyjefcAsZw8eHzUy/ZaBpbvXSjQ20H5sEoKSYXUxsdXOznZ7ZW08kgsXH+
ctX81d87P+2+Pifmv5dTbkkCz7rSf2AUvzyOItBmYz9kCoE1TxGyYBsD3uJ/YxaxbFI8hwWFIsYS
OvlHlevTBy6r/hFFsMDNkVvfke7ihywfmoNP8vX77/888a/XCX+eiSQP2dbkXcj1+PVwKrfEXoOA
sm6NwjqHkxEPy5Ah0ErVfXAk2s8IGhNVfiRnQhmNRv6iYay15m92dsFgqW8CYM41YUtIDsVeD7Sb
gd4hQBkdK6wFb+r42QQvve08q7okucjfWoCKW4Ynxe3vv4s120Z/PdQOcy9HmCbeDHO+dL4caiec
eh3WgFwXbcKSVxKB7uEs+auhwBjUEznFcom9da3ldf+B9oKDLAFBGINqnvOHtqvdtMPQPNtWh/Bl
GGwQYk0+DUbMPEieVRWKVaawd6hE86+hEnX7JmdrQSrkuZD0rISefHJlY17RZok9frx2xrDbFaOd
7unKYueRZuXJ0rypWIigZ1SEs9vbkCJi3aOUWrejQ0ow6c1zVejBh2ODPENQMIujtEtA7XjAfOh3
8Cpp+GHGDzTbbVb5NERPvz+WP27cX46l0k1JGZFhEgrC8fvTsSxUWseyHuXa8MwUhHWcgY7o9ZMD
KU+Zxnct6odrdjxsRVIoKukORb7/bpdJ9WYVZXMu/Z4+FVHCuOtzqoCQFFi8Z5kylppnFpc8yJno
dbU/0E6djh8uI5C7lnzk0U0G7ckwY/9UTCStIdqH7D5YKJ6cmGBq09r631w4/8Lx5h7lzpxfCczV
JbfCL1/WQTNS802AUtNd+encScmhtfYF3umLNtrupjQMgU0qYSJbOv7RLCRcM+zSxQ4suvMgUR8/
6YXU339/HubD/MtpcKDbOwgINmG/WUX4eklT5Zx2iexpmibftsTM+T3oxj08uGGFhfPw+w/7i2cB
qyY0AeQCx+CR/vOH5bwfyHU0co0LQD3paLnzXRxd//5T/uKB+NOn/HKXYoEN7dqs5BpOXPgJZz8/
IRUzfLOabNz8/rP+4okwqxJw5QXmenpXf/5GXJLsPPGprDNpiqOppdPHZJf2ifW/fisGfONQUbGY
QTvUswtsrGr1+z/gLw4piUXLxdgmpcU//vwH5FovizKQcp00qns0ehrhBm9Sf/MWFvOv+XqZsM5m
4UDEmke40PHV//wxgkfu7LK21/gQbota+MtUH7dIjjdDek9I7XrIzCVw8I8ZVt0GiXY9GURGeZ8w
pzNpkXXblk7bwMpv7LrotzMTlaHdbS0K5NIx0NdFiEtNZwhaoFyOCxMD9ArT5WfE3On3h+zX6wOg
Ma4v3pWWgZ6Eq+Xn7zJZU1y2NoQrdgx4nNsQUOqINEnzjfY3Z+dfDhuq1/ziI4sAPhmC888fFUye
oBxYc9cqsTHPjrG2U/qEt7OCAGLWXrvjULt/86EsBX+9q21d8rxhucSTFRHu19PVi0aK1Oi9NZuB
ezz4+dqEaIn6MPRPZpkzVzeG+lbzwz3VNM+K/NZG9aN4xcZHz68eHFn7AH1yFGAv+1IXDKB5uM1M
+GKbNBlOHy989kT9nNPSEupY/x0HUy6F3sw2Etg8qh/2zIOtRaVq/UK6vFjOcTGcIvCw5rn1ItRH
fVMZnoTKQXSYff6pEFqyUUOPNuMx/zKL9KYtA3cx9z9zA90ilS956O9jy7mbtfTryX61iukjY3B2
nU0pTdFS+k81ZdfXWhmJDTU//goc3Q+ARrqo4D5sk9DOmBrh+3kescrNHCMqb9yh7j5E4lZQddnB
L9LGtJ6HUDgbV0/vi6LDPLNlbL4IGSWQwpDVWnopop3mpy+gaMheNImsNnQqxbRBEeQcEqCjYqzS
K4up78UYbA+yS1Q2ayOyeOdWrfiszdg5p6mqN4AFDHpCYpyCLnnq9dTDLl55vKVeaAKFHEDbMWFH
cEaJfSeLEMpWOdvbs/9m7jx2Y1faLPtCxR/0Zpo+lamUtxNCOtKhJyOCjKB5+l7590WhqgcNNNCD
mlzgXByjlMiIz+y9NtYQOnaJSEmBC3iAGivXUTFvJ8/eEql9QICx7N3aY534rA3xkHCehtlN/s4j
/EHUUtLoX5jYwWtxxSgAu2u2SWzemlze9M3U73o9mNuUqOpXWZbeg6lUwMxZdAhb5prsl2RJVokn
H5oEZB7mgFtT4UEZBNlyuc7Q3FQxAUtgjM2dYu25d5Y6uB9MTDRVz49NAztEW5Nnf/FdJiQtpf3B
xgr20Nex894SjI3l14NLMnRkB5RTfN91jWC0WWuY/TjZg3Xjok+jz59f6mwZHkDR6ReBXmEtLTU/
W3kq9kT6VBdLyOywsJ58rCi0LkTK5OuSXfPGAbTFvxyKS7oQYVwRh7PVfux8WSlWD9YOwcVVQsK2
lGz+ymZ4AID2rQxRUOX1E44sHfdkzN7baN+X7hnl4TWKY75jYH+bYjggZqccj51TdX/S1MmfUSQB
+8egSQEeAzKWlXNjET22GRjLb3D616uONdxDJMf8UmEx3NhidkgoVO1fIGXTzjL+fNMIRbZdEP/m
MvhoSRuDRup0hJoqKMtvUR91Bz8b4RzOzJlzb2Jy2efLEZwdCewqe1OifyNcQUNrDBz1XZOB9prF
VQieRZL3SR4h8dMtKHRAEWfVqGCjEkwppRL1Tllxtg3YlawdO2xffdVatwVf1QbUEb+5ah85YfHv
gvY6Eq0Wbvld2d6NxnPam18vyE51B5a9L5OwXaE8RNpe5PwGsCNPZkrirUHXDV0ujq8BkdXW6az4
ydPzdx8H3WOtxvAu0JwKvIPLBomIOdZNcL8I23vQecPPxNXYUVlO6RsfrxEvFfrpPBnZTyVshNxO
nKMSBlLloUbJZmIHyfvOXwZcQPw/Qm1tW/IBO9mv54DTkYE/om/S21eBk5dfPdKzMxuf8QIQsH4I
5m4kA9Nqtha5zJu8LveQPD/YT/e7jFk/JJhacq6S4mwS0GlWU16IqoaDYU3uHwaiejXGstzIJLc3
RZXJe9dqCNVIae3IS2r8Vy+V6Jo91tTbHJa2E1V3AFv1Y5bOJwcTmPb6I27eZ9IwWj6xqB5YzTrr
ei7cHxtX7qMwJZV+zEBpX/ZuBP1gIVF9UuGdckN/04p8OcjJe3KI2Axa313h3gdjH+l9uwi9TZT7
3Rp5ykl8rf2KgRtEcnKF/P0oQoRGlv3UVQgx88nctoFJz6PGSLIK0Fi+D0vjbIQkVfwzoz2DPMeI
fjcjjKe7XtRpcEjfZDJMdniVXTQcHAbTo7POR29x11E3sb6XCsZ7kbSwKPvW34UkLoJHTm8oO7p9
x4j11HmWubecQrIoIMqLpFFxE4R99+iH8oHl1gzVKLG+Cl91X4uyq72TRsVr2sb+dpj8AuWX8t75
qvFs6Cq4tEz09skUL/s8FPlXAlL7BkAgobohN6dyZ8l7IZKDKTRAYWz455l4oE0P8vgovIBp7Ryw
z1Zs1etR6N0ADYVnXD0o52+VM0dYhdbcP8dD1K574H337ljPjyGg5JNArn6Klqg82b43b31IBm/t
kszvKNivoobaeZwyKfdt4HMX5m6599VQfMbE/61hd8mdkXH0LjIbQGCedAjxM67bfL4HzY0Mq/Ky
eyY7w9bm055HdpSnwfTBOfV0sM1TYz+7dl48YJjzjqof4zPxLuwakzK7NQQGA2NIzEVG5Y9oZPmc
Bw0SLmCEEODlVur+OwZ0tmtr6kWc39fTJclz7NTYOhC2ReF87P0r50ndCH0XXOPq+rC9G2vIvZmY
4mENpzjdWjpGzAnA4HGAcPYDkKZ5j1xo4pblv84pIAMQ+1x/EnMFlCfUgwPo6L3tI6Sx/LC5GSoZ
cob5auczNN1g0MLoYyn5ZAWGZc2ERAE2lAjyo0QpjcaN6Mvakd1m8Rse/HRQkImnNvSPmPmWYxvb
b7E/RPcxfx6bmmU9tElZ3y6F/Al7F+NTpTwq4Fq1T63SF9C7h6j3/7bxFX69ZPdBlYSbaTZEGY55
iciV73MWFcFagoheMY667TPBqDcFyA3xiVy+kdhVZ87ZHTgocpxE36FryF5oMUNn1daFs0tw9CCD
6I26kCqUvkYqch6bZrCvQZfiBmvkdAvyp//pgwJuqpEQaMeWL8ayfdDUk538iYu8vakKmO5uzp9z
wJfgoG+VA7NV2Ls0KD1izidv/nKTPjo3gL+IcfA6nJdJ1D6KNmqP+BrNb81uV6+AxYpTlsdm33fC
gxLuFM6LlVKTlEgu4k0XcF8bxj8EQbJH2bOA9rkqtUyffeFofvh1Qhk5Ntl+lh7q9D6VIRLnHIcr
BOX69QqKeVfEwmcb1UPMZoGZp+mWVME8XMmuTC5VXpmdW1njxqMZQpKSWsEHagrmeSKtP4gsiPZJ
gKIJ/WIJX2RsErBeUvDF2yEAjQRV6NYISxLAjIn2bmK9RcmkenEn5hwzrykfWXJ9+1H5hq6EJUs+
o4rN0uyg9fKuyeha90sjr8nRoPhYo2yx8GBSuV43thtFVLdqkdcREdliTSg3xBros+spZ5cTwreL
PPY1jRWhalBNOh3RDu3SxiMfoU523K5Yybwrzb+f2/JkTYV4baflpNOfxY8e49F9VrH5cgjJBM3w
GVT9e+5Ch24yq3mQxo4Pvd1GsFWbiK1FXA2buiuaTWc7ZDh2xDRdGlsoDCzJcmhqS4M7rV3qpDho
b5NADU8EJqNRIS4AQbxw9aVqi4zUWBzZgKlb1Gl8CZoteZA91Mn0lE6NB521bT8meHqw40bbOzBa
Gn/xnAxP+L8k4ClQVq0Q0YE0dCA9AdfeD/ZKw/DVIcAJIBfYY0/seZNjOP2qe4izcjwYACUfbTcQ
Ue/oeBt2GeTRLLnx2ko8hBUDl5WTFBKfbiGO6KbGV1sRLEuvYjxJ3DQI3ZA88J/JLsARkcxa/OXP
XPfYBARs5GyBJ6KMgTG0LD3o4zEuQXghd4igYxADwKh1q9ykOcPFtoJVEXbRri7ziNxjG2cg8bIe
Pj/XgoafxE+kgdIwRAwNwfHOBLYNkX1iRNHtFZJMXm6d7K3MAjmTohEpR/T5wH8Gho67yRvsL95h
F0nPmB4qMNf3lrH1FmlLTRmsVXfEvGbd2rmXooGbVHVbY4e5I0Kk3RLn3hJwS6DL1da9KTzfOTVZ
/FIb+8aF3v296KzY27nMn1itd09L4FlrLYYZuCrHKQK88CFJXPsTfXbySEyje+tGdrrir8z+XI/C
T9jL+RM8Mwnb2qmckyqxB4jSSl6iZRieoyqpko0eij8cLPUlN+P0MtozIOEiqrqdI/v28wqU4TPk
1SFnmX3GBpNdnCWTOEiB43UlzgzQmAPJPiRgd5abvRVCp3ewflteIGYvI673E+k3/VuTFN6Cpz6p
99Q8KEYkAu0tmROkN5oIsi9ThuKOyaB5rXwmg5OF7qeDaZiswm7sH+w+jxinLGo+tNRrJzw54e/o
SDRlS9kWDx6P6oOMSwiUK2t03WMQ0R/nNd3koYLCg+6oGOudLOP2gPy9fOvxan3IEp4OgjkWB6tO
LqCVKc7LF+0EycaNZ2frN5bqV1HT0NjEWWOfZW7yixXa7dbB40/4qkINgWaaNjBX91yTJYa5pcYc
2UhETXM8k0Tbti9WQdJrXMfBRgriqxfZDpcqmh6iNI54+E2lD4KPYK1A/bZ/+SXcppFUDbWt5jhC
poo4e6S3ioNHaIyY2RTiKz9F5LCWSda/OIPDwNTGVQGXpZB/aiLRt4Zt5Z1DDgDtPQUPRgDLfAV5
Wn60KDJx0TrBYOBp+WPx6OX5sK+hQqHKWmYtT50PQx7G2iMflBG6gJ9KU9V4ey71eT9FYXOoPMtG
rZ+m/V/jlnBfXCaHLe7QJvTXNAbBeEpmvImrJXWieVNfgQQbKmnLugM3McQnZw4J0p6C4F03SDLF
EnuP9eIlh8IqJDAy0wGeocIvO972QMRb+szxbpCj5CggDXMCE1ck+Y4IebEZOhwBAah0sZ17Nbtn
xntI2cMiYFEVd+WCRFNaxwm1623lJf1LQcLMerTscDXKiD7Niqe/i0jQStB7jzeL1TXfgSOwRpE/
EqxxaXD82yO0JIwzy5uLuPVvzhzoFlqh9cNHlx86HXsQzfhtbrgKOQb42SDCmXUTq0sQZ/Ol70AM
kGGw1DsTGPvMNCzjPDeAszbGq4trtoi4K1AWXzo7KMlu6WkXo1HG3yXoV6brHNxv0iEGYBt746kc
YGevR0QEaB7HUHz0Muk2tfDTd1ZKvFemBjQZFt3TNbz6jFc8q3ZW7H3XLgOokYBRf/BZnjDP3LOW
v6lgWPDNZgS2ahcreyzmqH6eAPrsPFtkJ5HHzl0VVNaV8qQREBGT1O9mHAXHuZHuVliFGrYNlvc3
0v7MoeT6es1IdcDAFeM95JM4/Y1ayuqro1zajmM3HHhVs5OMtXMv+tIiVam6ouAm18IeMUx4ANfT
NJMLEZDQsPYns9yWjkNjQDf87QYyJjl8yU6umX57x/yq3nqxaQFW5BI7R88B2x/Dydz5I0doF7T6
VYksu4kTkZxLPyt+DeSqYrV0xXxhssXN0FBYX4WGAH+l7zAGVZjDl0lYvySQo2xit/a3d4Ox/3P9
J1rckCN5hFPugxwPXWNXq8UUtPYh68wZisXs43c33tq/ui1JEaIFX14DpQz7wGX8LiyBmRK58nA3
pdE9WL7gduAMDvhY6aYYJoyIGFn0yaDSO6rRH3CFzR82f0u4Amvnb2hMqn04zPA/OCKmjZqXz1gz
h8v2SeN/RCoe71DOee89H/0m5hrGDdoOR3Zc3ZbpkvfK7bTGMSMXUkzn4GI58CWoZdA9EWCykc5y
m7eNPCUhbNZ0kOJnrifGbY3GeCfoda0JmbInxwHsYIuS7cqk4lvoQPWgpM3wiiP8JgCFK3mo3AkL
1WLtO7snBEaFsMAz7QriiK12BwMkOnYRSQArTjrnScQKuHhrwZ1HEYi4FHjkcXH6xyZV+b3jMhdE
w0w6eai92zQFSl/yHM7h3GWEI+Np4ieO839xfZauMc4rnSenziTvo+VFr0D4w5tqVmJdxYvDaLaZ
NgF3741GVXYbQ/Qj0qqQ7wbU1+nKtV1THIitO5kRqZPEIpwk4+00xjDCBtuar+gutnUt/dVDNNMV
Ix00J4Xa9U+mFi7gGrOvF7BGQ0LevjTQ256zTC8gRLLolX19R0tUpLhQfS29bZxBt6rD0vE2fjtc
YyPBVHqidp+GuU3oZwtczP7Vj7n0/U54XrxWoyrXvaxMu4ZfCS/Bn8AdjNSSMDiIpyKdzx7XeI3S
fJPkfka5NZtPjlHYCiFklATSzkhpT6gAKWeabwtmLimaXV9E+nFwCMmqKe+BYjIeudJBXEjUSTBa
D0U9lxfZdelNjJNon3dkOY1jEJ4nv5VYA5x2F8sFRK3p6YF6gvpUWor7Yuru+wbtsjOlq1a5n0UX
AjYj2QF33FRABDJyG+ZLQ7q1CtfDXN+GOg0OeAjsR9EF3hq3ZXzTzCMmpb56bnOYaw6g+r/ScZ2n
SPn+s0ZdfCwoQbaWNE8p7isO6XB8HDGNHnQdVGAbEb3ppt2SI6ofEXplIK6bZt8PKty5DVNmBrre
LVFVeh+EYtjp/t9QMs78WNknO6ut/ZQ2R1OraK99HqMyH/4OdCs/M2FEEE0ge86oxKYA+xd8BKCF
ojnabldvIepV+ygnxgAn49DxhHtEf3hL/jxovVvYx3qy5WfMrmsLofKP3zfLKSMZ5y7WgyIBA6kj
CV6cpC3zp72f2nrXYcQFeD248dYN7iR2D3yJFQFQKuj1rpwjgYGD1bLY2rI+xcR5LMLaJmV7QTCt
P5oE13lsZXvwQc4RQe8Vxl+HD9pW664Pz+4yHCxBf4fSyz8pSWQ6BS+7g2YPdvqhs0Bk5CjwOJpo
h92xmRjnm/nEAOylSnzGCna0ZvGwdguwMBjfxRFP9CkDYkovMdU/HvlLa5IsPpclOzsOXcUqKzry
Zh2XqB52+y7XgRXsREALtATFMXLnnqz0RDaEl7dssig9IvLtpwozEg1yWM+g8ryg3cZOUzKkpJ0I
nGT6BDUUnkAw+huvC2na9bTLOHM3dpRVZkMy7jcSY/8pBNuut1nuYqXH6Bfu/LkcDvU8C4iBfpff
BBbKrb3XOMGHMo6VfaX8D15PJcg9wDfz7PlExShg4vikZrOteG/Fml56u4CeQfScCEYZpEM/4ChO
n6QgpqHQSZfssYcdr6LELJbuDVzSggWmAUd7wGZUfJGwwa0YlTxSCmRc+WwVS8nKETF78pUVKQex
E3hkNUjAPKewoD9ZZ1XojB9JUlYPSYZRDJtQjMpw1uxHWNCW5zogJmmpwPSO0mUmGmKB1xn3YYjM
+3qeIsckFKl4LEdTPemBOJc150a7h1rITBOvIlLSsAijD3AX+mvu3OCnws8CXyPR5JUl1M09fR2h
FFO9Wxbk67GcneFQBlz3NeHZrHUyQ7eYCtQlsaXeGRSrbQnbnBXmEN1gDmOGb0UrrPwBp1V9gQRI
PIyQkBPdY9+IL+i/qCTD8S7gfgdUfOdZ2akvB+vJd0bE937WZg8BBcktT1z+keLUoCOWK5Iv7HM0
Oz8qmPQmm13yKIws2C7NEqME3uYm+YSD/hjI6d1P+2lY8eLyxi+ePE54vDKAFHu/Vd0lQS+5DhUP
OsbOGWKVexXZOPqRu7vlhqyYkpW1aLa0AXSqAzzobFUvpvldUG+ule/1GL/zY4uccDVEKT2Tb6CW
oGNJ1yLpx6cEHu5LppFaT4XHkLoO5KVEwGDX1W3vWenWmSJn48Q5Q4q+S9N3+oXG3qJKk5uo8paj
gb35WTglUYYqnKfTMiBcXwM4KSl8C9bCcuDSbXTGkQeal3nBXGbJYbYdvbFpdVzOnwaTQd0GTxLD
CoUW89PCtliOBOVHn1nOfjacuMxWp9uiCyBwpNPyPkd0bbAiB8Nkg3TD4i5Uzfs4Ot4DcYwpnLjB
mz9x7lWEJyDW8pMhfJ/l4jD8Yq1HSbQgmS3nxL6dagtwCewCeAdtZJX7ps/SO4/R0B96U7qQpUyh
6mctgwq+f3wnrTwi5CFw6hdauGLTK7XHgb0eGwdKV0IKT96b6qXB/qC0GAFUjq8DbBG+g9kLC+S9
cOLoULNL2upF9Wt7nglbC1TAjLu0kGOzUuRcKV6GLqpRjAg6E8ODBgfYVn/bpbgICTSdqLl95Cri
7AEC4SDnymaQv17iggl8LrZk3JhNj9KGsEsXRHoyN1gDOtQwpBkGxTeMs0AgahTjoaH/fAfgzWw1
9CWRDa78gc1mo4NyeUDGQpFn18jEPNWB45KE4wzVoSIkm+HaEp2jPG5e3Cns1V4zrEvAvWcLX1ck
V+RnZQ85NoEhArXTG1HcsDlh5eA29WFSSd1slK0BzvjNuDwuEFUPCM9GciXy2D3ElV2TKdtp1gnI
rt/BJRR/cEKRl4G45ilEf82ceBLFKYAnLWjgzP1QsTYzbkoj17kk8xSuoGWSnX9UrvHbdYg9/zJS
x9yYOSV2SvfCZ5uGuwgkbN3xsqNxJnJy4Fu+tlz9Cvaa3Lh4ibdFaNR+jJ2Sss49hhFOhNWYB/sA
Vza2/3Bwb+ngulWu2CqS/CiXh1b89GVh/QJzttYq0ta5ula84+IWj+j1uosHTm3dwUa/L5clhKNX
evcJ46BXP3cjSDo4I2KzEM4cXLMZlh5edtVNayjcnFutW53ROfmUZVdkN4yYEycueFpquZ3mlN6H
XsXev1PXzZhMnbeaccMNlBXk3FVCwl/hhY96gVVVOV3wx0miiIiNpePyqMoJegi+begJVrmucz1u
mCF5GzvH7ieQmL8rDP5PDs/nQy4cHqUMrN7oL91jgFSLhCY4vdw8/abkkGVAZfyjLW0Ag201Fxu4
Qc1T0Yhqr/tweJMpZ10HU7Tcjy3KttVsl3zia2KYWdftFTefRQNUsC7/46Oj/QAxVdwBSpIb1onW
2kWouMLFFqzjKDFrfC0h36kaCGLrzafcirlyss7w04EFEX9Zo/WB0fA3M5F3i0P6ngeKaT3TJMD3
Q3mfg4LRGwI3r52DnzfTJVlYXe+vvhO97zg8cxKle3PgsZaUjx4j07GJoW+BAHuJpN0DZyLpyd50
SY37xOI7i2RgIWnBOOkhiBr1xyUK1mPmnkbecCeBaB9be4rWVWWRLjfAHOSxBCb5kDEseuLpKt6q
Vjjvo0uWUhj12TYjT3KXdulyF5K7tZbRNfoUSxlr59qx31FdDi/V4jKYihtYReXiXOFHLvimOMx+
k2yJN/j1q20SLvOTTKQ4t7Dad9wW9TaMVH/TTmB7iEyByD3gn7t2ydgDiBU8WSXdl5vV9U0wZ87R
GhLYBtwhHtSqGFA98PQLg5bhCEDF+qqyLHz1egptvG/NobdyDGthlO+noix2zhBua3fSP1Yi3WMx
uqmD02gM63XuFOd0Gad7nsj6mhqjPrrQlH+8pGaWDkP4KcI3B8+XfkdgrhNXBQOYecITppL/VkxJ
nolrxdTAciOe1rYZ+idnavqLj20VemDcmpthdvDIBNaoSYtJioMsQFwPMBbvydqL6STDBlydk9db
EQ5oVBwwM1FSRs+pgbuUi45CBE7DjYLnzfvMqyeyniVmvNQvuWqQkEBeYwva3Vqd9RK11q+HtPO5
EcDDSJhOdyS0FNeqtjOkJhSvtqXM3Qx1+xkekHm08I5vyvKB8JV65wIheq+6sL8PHG96t1Iw/CVC
lJPXFfFaR6l+51h5B+nt3c7WtT4Ym+oChNo9tXVv7+ssb+7Jy6nAnpnqx5gUb+To2mvVmIJWxeZ0
QGB1oDcscBYJdyCdNfIDgkN7ucdPvXw0mVQw72acg41nUY/1wrZWNXXyqSyCbNMCRD5ILGibPowW
fIHaXUv/Ko1odczRlIljI0LmPuGwV16kb4BTdOB1HOcdSGrHWctXBTSyaJwHhq3FySyDt2NmW/K3
ApfriKs94sj17kUEwq9JMCQDUI9PGjvUqmz/jsxrwok7oyYzZU8ZDRt19nxJrnNur9O+bA8yZGoc
xtlHnOc/qJR+Y6at64wtdpE6uylCoiZheu+F7H6rsOpWEGL2LejJVQNHS1Szv8kbc85Udh6j7nXS
HDtEmm2mmsWQ5cw2e+N8yyu7JsRjY4rIIbxZPM29c0AxBKDQ5FgjCSIKRpySAVuhYTVOLLJizbin
6clZdK3DAnSj9vyDLuezL5l+z3hoHhl1+Yc+ngBrDRl6ZLEUNJNal58RiIudFWXlbQzH/cll//Uc
tHSMV8j6KiR3aP8fSwflRrG6xwo6ZF9kWPq3tMD2DqJlRZBg0b/8W5z3/9sxsv/tLl/Nb/9v+MZ/
wjj+N37jP3/5P4PNgXnB/78ilx+/EIwM+Vf7X70g//ypf5wg8b/cKIwSHwk9t8uVv/GPEST5l3+V
ZIYBpo7Q/3c62j+0Ze/q9nATIk5IV/rHI/IPmcP1/mXjmgKb7AH0wFsU/L8YQeKrpeS/iUMZbSRA
vLkpkwh+SPh/eDQ6rGsWCUj9zsYbUe+tdAI8R3Og6QKSLmR5nmE+IwSkZyVflrjHZOguOCmsqrn0
KmHnBVs05r6ovN2IUOkcSrAHUBuRQqyjUZHEAfePirrUSKfPSTPtWKOwma5kNA77GbHtuDJGLNss
42BGKeKnt5rplCI0og2PedIL0oV1A0EwJB31YykmkiM5Eqdsix6KqByAWIbauk2zM3TU8NuTkg48
Ssb9ZJL4fgFJdCstkA2NWKo1NErEUVJXjwYB6x+MndYXuCzQN3adht8NQ+V3l4wStZ5dXRIDxgQs
32V+n/0Ym8VxDYmLYGLbJXBdjFGF5N0001NvM1Ip5kC5Zzsip4OGP93Ao5w+QABN42oEE3Qp2DjY
m6Z1SnLd22GhBMDLZW/qwfIgOpAqVq9MQw2+Mup692RsTu8a5UgEe45OPkTneNmX3bKmAF05W9gL
0cOSGUMQ3CX0GSnEg4NEbBhzBiEIKqybvvfqgb/UaKAD1EveKTZz3+578kgcdG2tYrLf6jetB9JO
XHQKfICq9sV1FdmwCSMfwBs0ITalL+7rQvk/ueNML4lGILTS4PpazjPZ3gjiadFKixEWIFuk16Zv
671Z4o7A6ECThtnOkpwGe9HBK+rC4VVKUWXsZxJOLLn43aMTQrrb8hVMr2YcQFOhjn6oHNI4duk8
JIe8GPo92qjsvcymKIDNGxRRvClaTf0aE/j0pgdh1A3VsGMxn4D9ssP8M7sHyzflV9AbrrCkA9F7
csifIGVDXQkps2PACOMoeu6lYZNGAOWMfsMvpVkLSLcpNyDRw+sEQMYrLRU3nUYy8VGymjqXBSQ2
aG0qxexHDIHggZ3JfOmrELiCo6Ck7cemU3KfjqUntoNssmpjk02698tEn8kQcx80Up2XqmQllGAw
ZUre9kyQE9Ms92lJANlVMwShO0GYUsjQu3fyZThNxs7Vvu7bAOOgE7cfeCurUxSxDWHHzzBcDHa0
cdomtnbE5Qw3RTqzb7Ona5wyC/Vt0nbhR4JBN141aD3IGtdWJjbC6GRkEOnWu1C66hjDTCl3ncr1
zu5sdB7jYnkzCq4he/QpORn25GXybo+FfCvtOv4OTeyfotGAIaa5j6lLMDT5XfymAc7Va1Js/dU8
OP5XFBShfZf5GXQzOncKvWSq9Z0EzDeT46b9G2V8lpJLbWA+eEro96DL+++8zEBN19Ec15QVE9ej
Wy3aO9CZz8BMQpt/ObUNczHQNFF+wsY6MgJgLk1mLxM2g+81Ifd+QoZob4vK6681iBhvZ5JUnQ38
GjWsk5iIiRUBFLzmuT3M4D7tpEK0wgP71flW8VVZwkoPbpLXP7PUzq5MMu/c8objnmcP/UeFYXeJ
0CkBY7eX1zzR6BXd1PP/KN2UuH+i0Cc+OSzUJQP79mktqApLtoXoMrsEOGOZvfBElesQotw2BTkE
rTuw549Kz/VFkpY6rpVNobSSVebuA2doE8pa86dU/oRKv7/qWGZYKfmEI0SXju5PzeCY8JzV4fLE
YRM0ABfj9CsurfjiAk7gH4ikuukJL34vZg/VczxgqoIE21hv0p6QjLBx/KvHnC44LoUmUIVsdZYl
UXa2GVL/DJ5M4K/JwrX3MVLH+NWfrJLem5WwRXp7P0fXiRev2egHAJyHdgFsq8ApHqK0C55jbDSM
oYDdrRglVRu/7weG7WWXn1DmfWaDA5KHTn81uEJ/1ZMWiBeMv3Z7BnXBFDCz4zhraE4lDd4I4g5Y
LmZ23FMLS+1k8ui86Wvuk8qCgW2IBznSEwSAJOXyPqD4FwhWx3jrQExvDyod/OLJZk4f8HvT4pVa
cbHZDcX1jnhE71hNLlPiyl8ExxHbkx8as+iOHsb7hBXY3Luz0+08OenXOpvi4r7JB5Y2g5sxymK/
036yD58ORMtNsK1HUfyEpIat80J18dZaSBxcG3wA0TPmePMXiL9LFmPTyM9A+RGZvn2vclDvmWYr
13TDupgo9ul+o2bLKJKwn8DM5P+BvL3Xyiz2lqVRZjbxACRy5VtO+NaHoc/FDVjTXmybviCp1z6o
o6cqiaaTa7nuIdMG3XOjc9aTsUFYHAc3aTXoj37uwXxkTWfBA/AbpM/X99AC6hu158Aojx08Q4ea
macXyrcuo2ROs445Q8nCviuC9FR4Srerqfd/pry0j1mexGuGVQzgjJg3/lx8VkDWVqmMfoOp+GaL
YO2dAnLBkGYNutKeMcoqyCb/bagKyeZfcBLDY+3RorECH72jHwaVt55R8ovj6Kc5ij2r6xAeWGFg
Nlk9e6RgkV6GVIeoPQIc8viH7HC6Exe1xGsuYmtZCVITAnZTdTxdFh6fn5ScU/bphlLHz+tmYFaC
VwmS/bxbErs8VFlpbV2mwTwrtTmxGIe8yQvRb6Azlhjfa3ub491+rBgu7lDd1tCMkuoPjDD3bwwT
9aNGpgV4b+6/Lel1bIBDv4AzUjKx8WF3X6KwwzOXjK2zBdazIB1iPRSe57KzrBc/L1Atp4AuujXO
OPjErixo1OU1v3Tb8MBAPxYEUG1ZuQOQhfU+HUVheRfpXMPQ6gnO47bDXfgODawqj8ni9b+xxCPS
oMXg2YlFfWyaHkU2J4KJdkgSr1STGsTP0qrkdkQicbaH/0XdeexaklxX9FcEzbOREZEmciABuv4+
7+qZmiSeqUrvI+3Xa2U1KTYbEgUONBBBNAesqq53b5o4++y9tqQKyIg+/oBorC5YZlsZubHYfDBv
Yh83QTV/x1ln0t3sGHSh3tIg4Xrq4/xj6QnYmayqOIcClV7IhbrETViIpNcC4xWm+Ez57LYndrMF
JaP0GGn6wj3ZPXOIouU1I//82TVz+9qDV7nAZ65RwtCPkg0vpekmagPceERHbGvrCxc1olMive19
Eccb5blmV3tWvOxExnoP03hSnN1WaKg8POwOLBrWtx9doDmvVZt/n6R66trNuU23GOH1rnDZhY3B
Uj0rT4G7dHVSnbXl+6/p2PTpqRQxLqm0jqqdjmSLSpzwR14llT8ntwRsousp7bBPK9lxfvGC5l7W
tCiEXesj/0gPEyUOV8yaRS+5TgYXIFum8t4+DF26Y51PN7GJ2QNZHEzvXUzvmA35eMCbw7VB0Vzc
Z6A7oNZxgc01caAya/Y6RkV6idy0+iHbAvkyo7+LXzKup6OUdV19DHuTv3NQCB/mYaLvVdc1kyzc
/RlspmBzsM+KBAbGTJRngrfizGbHTG6es9BBmA95R9/2WBwuy34Y9twC7Y+id8UDPNW424k6yO9j
ejO+SfBlz2hR7lGCvP3RY739NlsaLo/rWm+zDYyO1Vi63I9V2gNPFhwXnMZAJil0h75fOvOMWmfr
s11G8wveDYoee94xL9AUarNzMgddOsrtFD6bgc7MoVlBeELfrFl34tFAybQwRMNHJgAIDIyqVM8f
KAmuhlidMbZ62MXsDHA4dfCA+aCxNvMxVNirLuBnZpduDwfm3BNlaEkg4Uvd4W4Lfg7lUHx2rcYU
mUMdlvuOWQoU6hzD143HqSWPTvGqteXqjZ0LGqKxVCgrrQk0LCPuoo0oK0zxFckoBAaZ64rikZwy
5LhMFzr2WA7V5CsgQ+jXBsKgfnArziVHmkdk7cAvEa6Pi6N/d8sJQypZh8O4Ys7MlPv7SDqwkicE
njPbTvry+sXSxVVMuST7acVu5GZB+qJ5oiKPAHnyyeZ9gy0onMP7DMpxDjVXQPLjjRAAKcwdzwqP
pFFAORcaTzrZPiy7WwXuhUmFnVA7J5sybprmOl4qjkd1lfTOToq6cG4MvfThhStgNN5izehpJU7C
cDylXWJ2wKnKe0qFG4v6as4kT3Nuy+UYNLOrDmAl4+TsItWmr9An2+JEk/E8UzOj5+57scz2e5Ck
mQdfpnfD7xlIjZCqmUj4HJKMgqsL7A78F7VsHcfMdmqSrVjtFPG677O/K2+gFK01mOW3TVhLcmDu
HFzx+m7GU6YFEZa5AIIsWRycKltmR8PS2OUYCC81Lk1RnHG+pTa4lxr8La4BJJ3K8UcflIuozB4X
DLIdMCVrZ6LRO84UtoYXZH0nKkFptW62BFP98AJC/dzITWIkViLeDEW2tywv796mjON23Uxzcc0O
Tvpbi8gp3jW8SLq+KG1IlyeaNYESGsiD8TMvKa87O5Mhadfb43g1jKRL2TtAyCy+xd7spB+Ce7i6
x9I570qvBueHXxXDid15w13aBMFbyuGO/OBsan/X8ePQ0sDCejmJiKJiJHpnyfd0LvnOZrF8c2C3
he9g0a11CfvyLQB8wIlc1NFdnNW8E52w/m6pKaBaxF5A3UYP6dDY/a5Nso6LJ6BecbOoIT1mE4GP
Hbvs5lKagtdUyS775wIlR54FfS7WDomBBYnJ4/lzjrD9n7tRRBxY7aG7aMjTPfai8VCsI8X7350x
aqgGcDcey4c+6ng2lUGXXUYTdyynlhCHcqhn19ti/h0+Ol+D0xe2xitYsaVktcEonJ+SjioVVmJz
9NxF6/6g1gtLnTyJxO3sqVxeB3ZJipXfbScgvQbg6JgZMfBWRUwUyLT22lpc+l8QzKgOmBrZfesg
lXF7pXX7XlheecbcZOEB8sMraKdwzkyxCG+TRy72mqVw1a2bR+qhSSrnmNRpcU4hgC4fSvBxeBC5
6NWbzO+oKEIjNr+/8mnvHpfuXNvl9B6x7X2e58S8zNTRp0eRCnkxYJs795TZ0wek6dbDCeFjkWoL
bRP+EXaxg1eEwbZsUiu/IUdMl/eidBEcLH6w5ybKgkvNSgKnRraSiUodjpjqGfZZtYb46ylkwEex
JKk97MZehzyxm8Db/5/oltfJZ0vg/Kf5fyBcYnSxBZyzP6SrV3LxX4jEq/z6b//6H5ys3z/j9/xf
7tr3rx9d/EcN829/wO8yZuD/hnxE+l8rid2FdPJfdcxA/LaG11Ek8QKwzkbg/IuMKVE43cDjV5M7
J96+JtP/KmN6vzGqapeGN9RRgs7yn5ExlfiTjKlthX7pgivmEaaBNPwp4w4BrSYuFw/nNkmi9MQK
Jrv1OxfWKUMsAYFp6vOUUERJVsSvaWCHqFL2za7yY3mmNTfdewKtY4lL17sWdjYBDZ0S/tmpLkFy
hIiFW2Oa2z3tq9HFUkF94J0l7f0aiohuKtelxsRy5vrNy21SfpVIEJiWUkQePXBFh72Kn+CZNg2H
LZg/2nQeDHvaphlCE+18oBSSPg4bh0Zd2tJMzjEVMz3aaTDeB6KnBg/IGmYbOVG0Q9wvbY9EHTgG
WJwk9J2SzcDhpa4RjmZXRNcEM517Q+F3yDQ+8KQlllATWSIck2y4Be2fcQJVdI+OACXEcSznoYxD
h+BcWESvjZPL/qh1OH8qzzK0uOQhDoMCaj+v2LHfqNYZ3uO0Iyqu3QIuaO0lb47ldYzMnB63Y2Xb
9xPPld1YSO8sECc2qqQPfUX5SWZfEu5PhpPFq6Db2WAilnh/pV0lJ4mUl27V0vJaxjxV4DruWN1K
QvHX47RYl6qgSBPFEK6sSopePMqWEgwsQzyZDk5Qq+AF8amhag6v3D4P7KbfchSRa1qFEquch6Jp
k3MDtsW+RWYZCak2zDfBIc0xODx1MY3hG9O22L+8un6VZL33HctWPqz43JuY1tOyHvf8Mc4lfAka
sLI1MiymqQSu4MeDuIWAE2H597FApSNkVxFivHZ6e3owif0znRsKc7MMJ0knwzOh97UViOGqbYQ8
hD0rZSwLyw2r5HhTqMSlx9QhQ52JGbwsMgfeIW/EiRb0/uMQTDSpW5SZof0FmC6golIz89ilOrpR
+fAia5VuM6+EiI+TTGPZE5w7yqE9j7xUjlZuFxgbAmaWMk32ajHldUSh0oXHZfNQYEk8exMe5FTh
nsibRh8LpxAIqTUN9M1VHFmwyTQAwSXU1/igu2sNzBrrGZ2seYyTVtpO/OXQIH7U7ApfEuPiHlSZ
e+qJAxD6qeYN7MAeraKLbjNNgxUjTPWAI5OikxKIjEPlwn5hj0F1dWyHVIFNj5nBLDMD+T3P/YgM
5fukEmE3ocVWIfwTZAinSj8qXBYUvQLpwcQFmyeS4cGjSW3vlBwPqKAUmyEMtokw/XWDLMbQHIP7
T2e3f8qJdlJHdByY7XCwugKLIDPMbRgzIbjLbH718aDHkApx5XFoAIfOwwNZEc5CPuDXsv7R98ld
NgqWzqHISKZQX1ymnU9kiLss0hY14evY2UxZ+eqIoOZhpJ5Qq7dqLgjMFuFXLuKj4B17Zy2L/aPF
Sb5pq/qy9vx+I0YP635Am0KbTT/90lz2cGC3zWjxzdd0f1vwWK21wQsRtTebKHRbZhMQDiox/oEo
U3eVxpjjEJxzwvjYTUYf92E+u8urxd/7kKbhso9z2sOUSsdrHWdskLWFPORWj54J6fFbgdUBx/8D
njt8LM7k7DM1lfctG8a98Dmk1F6x3CyGtMpuRkk7xXCD2NhbQ8/OQyp7S9ETiFdmo2Fjh3J+TkAG
sMgNxxvU9RrLk491IXbdT9O0P+uGshu7180FXAZ1iMUY7JGTk62XIbi5oHo2EVuMiylX2UdVl3jF
3dTih2cNdecYrE6kp/SJK4EnoaFwHpBxo1/GQEZfdTaMf+ks+PyfqGTUqv79kg34im17wINsHz+R
H6gVBPMH9lSF/B+zkCbWJ7uBQViMhbej+mm+7TDVfyPb4PCMqxJq0lTD2bxsh/KpxEuwb+ko+eoj
wGRX5NSBPmfGXU7YSkNKSddvHwe94DU12jDu4cCGiH2yTwqbo5SIzy6BkvF2AmlLQJAMwXOHSwgW
h10qtLrAG9zLOln0NRmZ7C7WwC0dILrdhiJsDD5GGkQFJUkjuLH3knUznTE4ehQWOst1NyQLkFtC
+GTXQZh153H052PP8/1yiazpkMe/H8snKm38AJIa9g0tkYwV3itu+9A8c9Kvdx6mozXyBV23whaN
XEQCTWAxhyfCe8voCq0QgXXLRmWZT3CvSNxsBnin+RG4GqL6pG1Qp/bsFle+k2gS71SZ2v3Ast/3
Z1Zg0jnnFJUsGCVtEBKZV++nyrhQ2jt11zGr40gEXqva7EB3D0bYEvYb2HBR3RYBgF2NLHXrGs99
gUUEcflXlJHg6SE28F8jezZ7kFxkXyL9GLuaFKn7vUznS5pw3sk44pUDDSs727mp049haB8CFiNX
lYjF1rWA5Wgaoh5iOwu2ccUHx3kDkzlE8A0VYhRm2X1CKtRFuMtJxfY+RharfJCUyd2QxyeUaivv
bkjik++E7pnXSra1jZc/oxLhGuhc7KYLUzO1O3WHfhuF1iYo2vI1nVf/sqw/4La42xbP7cZdgvIk
uDZvG78RjwQtP/3KmR6qmDtPjX1/0xm3o2oEo6iFyxP0wnm1KUT4fVggfOWzQxeg46FSalKczjFw
BvcGyWiQPJRdd3oJFtCzO1rr6/dZetkbKw5neXRDSyIX4fOYt14QNW8sOuMbjQvthpiz9zGmoU+t
y9CrfUTG8WOIM7CqhUe+ohTGPQaWTdotRvNHj/ceFcznTwarYJMR8nyUJZ2yoHaz5ejm8DfzpofY
NsXtdV/1eMjCpIy+uwgTDzYxp2sqaTkRQD3Ymh7mP5DUZO95ln5qMkfgxlTeO6daCNJ+hFRwGrHG
XwCFtXDsWSK2qcS1sgda60FWAAFTBKvaLLG3GTpxunU4cMBf5eqhsXMikBbxxKo3U7v0zRYadXRD
eWDAxylTXvv+Ak29xD40V2nxwqvF+YEc2p84ehnJI3IVsmtmRQZByRSl+xKiXEDXD8sGPe3HXpTP
nptm19mcqRvqEGnsSYPgtUfofEoKxzo0bRg9LBb+y41CQn7kr5E9iWXh222wyGwWJ7cvPE08JW4c
t0LDJEweZ9hfti2c2L0XUiYgW/m2tkVe4JcdkaLnLCUkm/ivczj+HOresrdCDMNJ2OUB+YRX1+im
lO+Ba/7e0k5Ay+TUw8jrSl28d3Y8PIo6d15D8oM13+iA2y3qpKYWwx+WEwQa9X3JGshGKrXeMN+k
D7Dygve6a6Yn4UzlFbEclW2mkt6w9RTunhxGyHzv2LkkG1BllKKrxfvsPSc91RZI9b2aFtCFbs/i
kV+QRCMRMoM4jSpxM9p1oUDSpyrYyDLMLi22w9dO749Ym+XwZReozdxznX4Rpd1S5xdIS0GmlthO
WYVFOArGGaBgPSXFtrbaFtgzL4s33bbFIwmZ7DzCz986EWlQ3fWOteuckOSOi3im0E+D7oKHXoeT
Gr0131HmWMysu0b53fj1nJ0mZ4w/kP7ZPBdhPtAGgYreyLBoN3nmd8ul5oxtwxaJLueJx8tBjcb/
oiNHXIWJ11/EqWzJlii5PEOzl+zAjOhO7FWsb2Xnxndo9fqjmoR5HAQj1LRekgxP2YT3PIi4CYkM
EaXTDdfItoX5SQtjLc6JEgHzz1SMVEubCIoUNpjozpBQfzJ2Yt3CkORh79u07q5cB+un6Z0yJbcs
4d50ne3eYA/wGBdyNVxTyty/LbFSH5HF6unAJd/8oJQ3O6PZhJSQJE30Wk4Q4A9gOiKECcf5Cet0
wMEV0aRQmKQUuybxcShYQzZs2jRrnkl5LASdyomVGb1g8K9CzXIcgRCdyOqmbJet6/YOf+htqsPg
gc+nvBkNpbAbfNBvYHIEYpYqy13L4aWmTrGhSRnmESEAbTAOYGUGlRiN07l1rHGNfqTjLnVRJbeU
OHE9pvVU3TpOndz2iYxOjaU6wJ9OpOB3J263zf18mCj5zYg/xInjV7uyNcFzXuJa36DqfhMY0T6Y
YygISzEYOhTLkWzjUmC33M4T8kxigukOoP2rtO3HwTLNUzE0ZBX6qaxukZ3s6m7IpvgE59t9p4fS
5/+aczLb8DzPDUbqfT3J7pWwWfcTdJMudtZY0TxhT8Xj4qRIQ2POmwj9Jz4XbYGTd/F1TFBHlNmB
g7B1HVWBdA99DcY6ZjlGul7F39rBkxdzqUwLyQIV/hj0FvHciNXFDeG49tbX4MPJwy8PXlJM2L6d
7uzjMHjzhT09thy3pp2YrPDMqEQDlphUfi45b7YH08zFbum5OrdSzpV/24gctrWNcoJzfpiPdjOq
92Eu23NPW92NDd2UwImPGOW0DuYNpiVOYHHXojEGjTXdWS19aAnExU9fReYrqunI3fSpLrAq9cN6
YuU58c44C2WEEd5nkYmENVDZggDhjj7HonR+Jjmeiw0fMbuaIKjhB6k6xgZPtIjjb8ONTf6DpQ5u
Hd2c06U3T46bp2LnhBNeaztX0JgiC8CnEE5zrYmCHHNcIZte99MrdZA0aRZW4XENt+tzE0LmrHY8
z9Vlg8RX3NVZyymA6FGVHKfGISlv+9WCjMqpiJKNNe+LGYKLOQ9YfDYm+lzaRV12Go/+XjeAwDg9
kNUlkqlbcjJ5Q5fAiKp+MeaDFZ3xmlFgEjps9khJUxmNi+rbhOn4hwuGgXVKUL64bhY/B+XAmn+Q
9ngcbWs1Iznm6OHnJEhGyeMCA/tnJmDbHTBN0O6CHywnkdDpYTcD0zggpFtHXkkNzWQzc5ydqF0h
VyhFhJiyKUgsfTr4IPoNdg/3aQlEvi/lWvcdeBeQWp3DnOdqD+FhAVw12zc56sxOUr0AxK6bZrbp
afXQeUH4WS014roLgya3J1oro450HDtFi3nRqORhQZRi2RDnL6RChps8c6anqgawwuhIsxGftX2b
+KPeBWUdXne57V4M3PBPs+HoT+/afIr8KdmCTC1/Vtovb13Zuk9c9pyEU+dCJPQHTiI0r5EZnMvC
EwuUITGdYlf15z6Kafw2qjxKchqd7z5yJm/vR39qLtMocq7iXlWnjJjVm8039xGqFMfsYLuHIXFo
0YHre1X3ZXLX+TN1DcTuYvxH0WbEXwXFRcJ3c+Jv4WTlJ8etaSHNKSfBXocHyKKXRbntlanNW0B4
4dhk3XgMYgwrcUW3taYGh+SIfgl4YF2XcT2e3S75FIQPVrUi26uWTkGjXM4Dsr+Qv+oXI5NfhjqV
O1PGyTYSU/4dDmV5vTjY41jPtfwl8+5Ep4A5GXboO8vo9MDP01GT6ih8+EfSTsH/gp78M7qeKQ6/
pm3j1WS/IYT3J/YkZbGmHHmQnOWQSI6d6ylNqyq6qUl70hnOJTRvsYKKTQ2U95DNvX8eCwWU6w8q
7d3v5M5/IUN6VyWl6f7tX4X6EyKSv4nvCaDRaKv8D+uXv58n2z5spoLA+nluaWhnA/URB2pc7uvB
CbpbrUvh3WV25qt9vhTjw0AqpMUDnRqxnwfu79gZnsdJuuhks2yjA1k19DPqM4vm3SN36mC7sdwX
9qj5XRCEfPIsKV41IVVkiVWQK8ZBfPhgDfHDMzW+IH9YB5pA1CMefeuzpXt3A+kk+gZGuKc9pImS
V5Moto5w5lh2JIgCLFdfaHrnQkni6b6pvFTvUGKDPTnY7NKJTbsjuK84SKjodqzaikxWax58v5gv
rWlSQPEjXoelC41zyl+lqux7fDUXkAOwkKyiJTWi8yeRH5TMYTI8IS26hOM9kqv7UP+SPaNfEigU
TvsnFn3kAIlt6AubrL6b6L54IKMoXjxlNxg+aWhC/loP7JNxe0kXuk5OSZ9jhYwV12n+63Qvfp30
g1+n/unXBJAM2fzplvSoMqXqWxb/zAnCVOoEX2fCwtME8qh+jRP0yXnvycIqDeSUPluh/Ba5c3+u
J8rF2YmBxSXluyHjXvkba51Zhl/ji14nGXIf7rW3TjfYuxdKoCYT7/XC+zmtZtIBYmQiWmcjvU5J
cTwmu5bS7KNsWjTKVRHd8jSxPvJfQ9a0zlvpOnkF6wwm12lstpC3G2AzWDqynnGtDoA7PRKwzN5c
mdfvUDXYypWzUdNL7jV8SG6VuzeGgrv4ODoeWjhCev3ahrVXflmx1yf7GBPeT6MIht3949tE/hL9
/wC+1cgtPlsJ6Ur2EwL49N/fJn3ppYOKeZ0knLWua2uKripciqyWVHaG3qDPjW6LEYxsFe6ntrrV
eRVexRPlVhvLG6cLz0RUvzfwLVjNWaBTS8ojHph64BM66KSvRCnohI4IVD46YwPzSJJLjihyI1Qz
3RZ5CBxt7NSmGMVwJTAOGxYKU/iJ45qcQ1J7Z4/E3D2tjvAWJy+9UJ54pFXotpThXZBPaxt41KMA
hwdhR4/c4+rGxmLCYEZc1HJsOGiJTXALvY7QVttoD5ds4w4b43FA5d1hn4baz+88dsx3qhKDs68c
N3oSvlceoyEN9qwy8XBXqhrR3uasu+Hh0pAvhlTZcZIxOxdtGQC9Q3xt7070Ry+NDSKrFy2xncKr
yy+/75r1wNxzkHTNnQTH87xEeE8qlZJzcZd8FzQTxG+R++FbzFbhbWK1SnUTxthDaLL4mBQNxqAg
dHx2Fqk5pP4cnUrtcstBzaB73G090m1FOnwVYRDw+urt8MgkXCa7iYBwuouxqoBo6unwJjsZ3uOm
wnQknPBIEU1CyVdpPUwoIygFQIOnxB0u8lTTW20n4gZpceGq5NCZp8F0SV7O+k5Xdr3njwNsZumS
Ho50jZ1hTftmzyF3QMS+HpsymhmbnPjgAV3c+os70ArbmLdBiuSJ8JN8btKipApyoSsa8gyPpmlM
75fOQEErHHXp8pTaOr5v9hW7hv0Yxf6dH4v0W2l3GU9RKAXJRvPJYAGxHdwTxguv5myxj6SqbO7r
IFVXdVE9ApioDxQNcbb89SZa4s6596w2woqFux15x17J5Qo+xF2ZhT3soXWJJH7tk4SZ+mUb/toz
2evKqUXVXRM96yaKKhm2UvB/acPxSvkhfm2tAvZX8tcmq1M4LdZaXjyO66arlJYFTSoZmT4Tnt7l
jqdb/UYmL09OyvFEhHmkBpiyvse+nB6zC9O31GA2121bWg0jscN24p9MBsq7Tsa+Pbd43ODAuOLc
SEynu6Fx1kwn5qoeG1mapadUexhwZgQMcKdE3C9Vr8LkBOMCTXda5V3Mdq8AaqHgmgjra/KatOsN
AoZxxlt50YTLciYzQL+wqPr1b90dXDallxMF9PvOqtwTgaDu/R8/qFiQ/jGCwWNKcLDgIYUXB+iz
s+42/6AOk43GxpZzrggi9yYKbpusvaqH+1//kn8qm/M/LrCRsv8rePPvODn57/+DHTdXivMPF9zf
jHlv/7vl9l9+5++bbe38Rq0KYy/VIR54GQEn/veEju//ZsNVguLlSHoj9Lp1/ltCh3W4t1YCsHGG
fMBv+utqW/2GiGHzOzkpC77Tf2q1/WcKuWAoFg4JHQ8XpBTqTxcHhApYOr07HOvUBI/cB/NtSXE1
EB308g8rWLLL0ead+r+dMb1fTUx/eHuybGIbS3CABxAiOsVJf39ZEtXN8N0Nw9Fz+vCQtMqt3wu5
8hCSQTjFpq9FFm8TnE+vOeWjy35yqjojk5urfhtmo+0d7bwWcsvrNgeaECaGEAteM0fMkYF3gXfJ
7uqQ1GERdv1plGsWBSM9qxrOKqQU6krPH2psNspATz5KOkreWD1OKyYieC7stIj3xHCG+xlXeb3L
DA2FSZwDVtB1WKfbQcj+tYSmwU2M1VcXxaWTMPSOtNWPC4acpfygMnYbG+LzSyWqXRdWn6wgxFXX
8pAmKeQjV3vsvkIrBaNcC6q1XcTtrRV54TeL51m6Z9dRnen6nrZlOP/wKzc74nU/hJSOno2cUtg2
8R3RfP8wTMUCd6DKtrDenpNkTYdztOOnlY8DrlBWl/JhLhqqs9N8rUKrIJexTbpl2bzTE1Ivu7II
CCnb4rFt3ANCR7611rpGr4bm007ync5YNsSBc8k0BNKXTH2k2mMZ5geiWMgL4HqgVweM2eAIuvXV
3MUVb8GwG2/Htm+ubJLf5yVkYAhxER1M1UOYbJ1+KxqbuqkI+owhU7/PNFu4bgrN0bhRf5Z2B9Eh
Ue7ZsX0PU4Js9qLtezKmXXJUYyy3C93D294tJTyBtD+EdVRQmgkLJXAxFxAqTY7L2Fr7Ae8hvjsR
oeSUlvMFEws+J4ubnW951g1V5OVZVE3yMC95lxFCzR3m8T6BxTURkt2kqc2+G6dvERGH9p1gbbmj
sJOwaPdO6CKrtjUEDmubxIv/FvWOvvbnRHyguBdfxp9TH8t07aq1hQVKc5Vd2ROugd3Y2slNKoPm
bCj2I4tvXbAcry9ADlUvhfbYjsN4hs1nLyZe9i2Bz2XbcZTwAO5VnkdbulfdFfnAWsyGKYFTFZD0
ThbSvXE63uh08qn8Ku8KcZyQvwuKhGP9WLigb3dW4di7xsMmsWfHYOzN4nv62m4VfvaumYd7aZn5
4ETxHF1EUY0Vv7Eb/60zmhQr/D+s376qYpLjFp7dUdtnHO2UtIOrKSi6q+QZpQW1KLZ1dKLc0nli
ZiT6xCiUzHyYaxIOQNmI7dSr81tVVMMzaxroLTrw2QZ7k1SXOAHaca/dMWouZhTSHxVLjqOH4Pmc
qbjpj4YD2c+VSRIccPLM7UZ1DQn/DVON9aA9Mx7wOFPu2ek0w34nW7UtMdeymYDN+dRLol4wzazL
trYpH+Y/aguzxYdrQKCJvx/MblCOt6Ezf4Fj/uiK+EpgC6xtyzn0M0p6Mcj8NDAt3yL8A9FzMFsb
tCI9e9lVQFh6s4i1AduuEeQWC85M3dyU3tLdNan9FWc46tqqLWCb5dHJTv36uvT97CAJnh9QDusD
weLkDm6tOU50PF/2yyT3uHAAdXotR0Ocejc2XJRkR/flClRnbV8UIZZAbKbJZQAKI+YC1uj4S0ka
HA+ly6SdjskFY2x+icp5O/kFfQIYSiE0UEPUeT+aahZ5svGr2dnq0iKOTUsOBgOK7Ltui43e/ZbF
MwIVgts9oz4QlDgJ9equGy6WfvlRq2algVWOsxpRw10gZ/96UM7WdbJFEctC5wHsm5xx0Rd3li3C
ZovypLY2IO8HHxiJehpYZLJjmDNzht04fBpYMDfdSKn7KgVVHLnNfKvBU2xnU0nBSXRCbnKBTfK0
iD70kHY7CyT+SWnifJiT7W1OIzaCtpTfmMziS5yEBPWYJbczG99zBN2D4qhuO0YhcC5ZANdwL7B2
+te19GLMKe5P3k7JDT5pqi/aJqI8lCulO6egMrZ1SGxq32KqmOETR6LcWXPTfiUWaxRKa1vQPl7Z
hVh1U2AUcQtPbqPdAUt+PDwkc5S9mIR+x9xX+scKyjjOiZqw43LDHN1m0FQ7gfl09sMw6BuYWsWz
z/e0HSbRnuY8LL/6wXPuuqkJP5AhhfPYNQWPWbOUMa1NRtkTtfJem+5qTgcMpAKphC7xhX74RW3T
3v6oaVkGOdMtx1yK4dJPAqDw5atFKKrYxlMnyUp0JCQwYXLwZMZiTsMipjVRpSYxT2MmHRZvCIw3
NA6Q25y9Vm7yYWzuZl3ehxRKAHFKWrAbhXWXGye8mSz8mRlF53jWDjZeVAKGa2SuiUiSRGdEKc7o
2mkvUzIRlgu9SQGw40eIr4PB/mr86RMFyjmPHX0g2pbzOVmCGCxgQ0iTJnlgTph0pcyvap1P+6Vv
3aMGyLMNsWvsljjiS44n5zJ1o+dI0QrdmJELIBx5POPZ34zG6eB6WEv8UEw1vdNAJyy6VBIk04OZ
e8l4n5S73DKCcKKffE2QMxAABnOddxrzkCUY8iZgYMDsJDvHsD3WPoIv39C45yyoIL6X9m6Ylm/s
2fggCzB/hccHmzdleF3poTqGXf1tdGPrCRWyPZnA7dejBnKK15ojXE9x5AmkL2EYk2DOWgoWepnt
XMz2JxrqUV/T4K6DprwvC+ncTnzv9phjM5ftMDlHCyF3nwEuOLYawopSLXW4XeK4lxwXurdEr19q
HLjsWjDg3KEyBPtUsJrcV2UIzMu38wffLLDogjz72U2uh3W4EGcxBONLSkfJrpdTNRxG167IBuN0
3kUgg3/a8dKfPBd4At3tsoZTwQRuDRqNuEpEfBdZgDK2WQSZ2IvYSUwyVbD32+ZqsCViSGAycih1
GSR83tK7iIKCKt5hSIuLCMvKY0QJz6WtB/FEaCT8kXfUnW9q9sFHVMIk48EkwnNqUM7Z5ZXscKZV
vVBWcsGtgnRn472Kjivz4FjYUjzTAhdssKGDfyjmCWeFzKOvPitt1v/UW1V8CWVxl2ltPbHMT09J
3IG1mNLlWLJkfXVcU1z2zUxtwcLx4WYuAZjKrg/KC2Pj1ADNrJanLJ3nHzAgC25TnWUPLQnrhyCu
CLBliRfvONr225Gj/SHFIfOs58q+CeOyvIjpPz3+J3VnsiM3k2bZJ2I2aUYaSaDRC3fSZw+POULa
ECGFxHmejHz6Pp5VKFR156Jr2Rsh8adCMZFm33DvuQsGsYLLz2U9ynMQf6Z2awclqYVnRxv6dZpL
+zBV6fRk+HKgmlTRo+xr74ohxToDP3U/DcxY2xZ78Ke0o2NfW86GqdVD52XA97zYQLMI9V7xnNmI
gtIEyyUnHjMCsaYX2wS2rF2gVrVBIBE4tlRv3fauxBnhcTLuJKyXpR5xOQ+RD8TFL1AxiqmiYCyX
4VkNxnp0G76Cipnzm1QTKTV1N5AOHs0KNqEhMuuRK4L7DcjJtHCAWSpgRnAfl/Y9hpXK3ylZrTsf
GtXDmNsZzHL/K0sbKzQEgjtkusteTJnaYRdPvilaitBQDbiNeL2v8ke9VPvSmbtj0049VFsBI9OH
nbQ6utqz6SJF3AC+nbleDocU4ZEiJu+x1p14mHtz0l+1FLp9WtjaFi9M/WI3GBo4YHQiNHiMROIM
IGnVaaY0MFu5ZcfBIHXKm4y909TZc2nP8aturPQvIgqxR8yBc25le7sfO7N/ahZh/RhrH7gk63ok
OJ1AfbHG/hpmKdG3cWkkJG8x+zOQkH21thjijdumKb+ORulnkwL1Tyfr9RTPNSOnMtWIQTqLs2Il
pZyCrbc41ZyhjfeoCDmyu16O2JtK8yuPXPvNIYaze/VKWw0PUd0S4LBmhBKHVk9efVxi6ZoY6kPy
d2LWo+yH8JWmo7Wkx4bFKsbh2Igy6va+C4dyURaCAt5ehLmk39Tch2cklvclv2wb/HRukgQQUwXA
hYZNCH+w/KynJj629Sh/FCuT4Aqd43vji/FL0BJBjGna586xn1IDP6Yu+qBh13gelhiUIc/hfTNp
fmVuMv+MCW44QmpO37N1IggQrKcXKn+xf6h00adpmJcdyIf6JlapnmIi+BB7xDpC/QE+c2nyIxV1
ctFwmw9tP66HkR/h1+TG02WoDfVoJ023g9+/Zz7vsrDLlhMaZSsYSbp7rtBIX31G1fnG8QfT2rZN
ymLXa+EguAVetrpbO04cN7oSo/CTrdw3DmD9NDZmhMW17ZBsYOQTm15N/t8Rnes2Gct0ZwsVB9Ms
kvfO88ePOePNKYxq+MiKmAgsreS1gllxSgu7fMrvoZ82Gk/RDP4zMaUYrdjkU12lzR9bkk6FckUc
KvgDryvDy9Mam1D81mF+zy2JssLIk4eebIjHeu1kuHQA3MPSaoaLjmwmyBAAjiouk6eJAUAgSasC
F4my4HGkJ/3VLsJ+IpFy2C0r1sfeq7vbhDjgWLvtx2hqsq20JxbKg1JCuK8x83b3/W0+DutXAlpz
g1jxLoSS1EBDJj6npBZXEr/zc6Fy/zN12+hnlHLm41Xsj1yr0zOJ4svPlFrsgY0bMuA+Gq4jiMiX
gSovBzxs2rsVK/5JslC9Rj2P/NRz3qN9G3+maVeF0TqkX4vyhMO0lJbaqiYXbg7N2mZaeLtQm8KA
B06wWX3uFG92pm220GOxSt+tTZJdKzlF71DZ+5NDcvi7UfNc9Ykq6QSnKvBQ4ARlIq1HUoIFzLVp
DtC2wsNeGnFNjLL6a8+aQTH2SoHDPRsY4nPnbZYqkt9sa+iwxq7soMP2EKVX/NwHgwfNQgc9GYS6
sW35QJXFyLg27OYDDF7r03dpCxXu0ry6nei/MsBIeuPmd6+v9tvqs++L6GseTHzAfsz5cu6BQjwS
EB6/r/90CgMlwjUM9oWglSwHAxAPM/0V6Bf5a1KVeq9FuYKEcusv7IMNNEbT/WDijuoZdcslplLD
RsvZwReUlUFe4YlP75Jx3+D0tlSHYRpJNz7Wfrqu+TR8jeU4na27KRotVxSieC0OyyixTN/N073H
gQGVj/2Qa6a7OC+NZ6fInW1WklhguVsU31O9hVtSfddVqwC1ETnlHAyFOtvBhIQYY46t9+qf5u0m
1+nfybRJgevMJVzQOirwn8zXN3VF3nFODxnE2PUOvZviX+ebj6kJ/mkQF4zOS3Jlpu6ywG/6IfzU
enXxLRAUYa18DUZfI8jzemhvcVy922X7t/+n/bwF5kxEUbT8ralBj4ljcAxBCUaBRD6NMxnGHlbx
rzxmsIUKDS3nAsTAWVAD807PbFC3890HTzH2ziFTn5aufzGjWezjMTXO8d03798d9HhIncBQ9SUf
cXgko4evoLdvkYzKC1Fm9wi+fxrydZQfnaGqzjOBM8dUozuklcDAv5bdCAA+kfdrqtzlyJUCHwgl
V1XPm2asZz0u3jUlYCtg6MGiwI9g9fL4/GJ0j4s2r+qSjy/as0pM5zrRQYHuksMz0ODHZU1Qvepl
fs4jo8LnbckOb7cz7wsDfQEIlg6Jg3m7z4R+mCoCN1M2ID2D3KiyG5Ud8gOT8+qasIxl2oUGDRHO
HUM9ZjSeWDRXm/nbir8H0cW7iUJKwbXv1BOlQWFvSZKJbiJLTVA4bn8Y7ERtM5z3gYTTA9N54b0s
WFIPhVVGuwFtOnmAY92d7Y5Z4tYeRfTRxpPY9V3T/8gWaV4z4g36jUoMDnA0rU8yHdtry2fb1m0b
PSaWKa8m6iYGZ6xnzyN2n4Os8+wkoP6cm8Fszini5GdlFc2umhWTPFHxni5Iwm8M1/qBULaeksZz
MW+2k0G20Go3WRjby29/bUH9iRjoXizMb7DT+XEC+/6iOJkAzY84nkmMEOiKPKwOGRTWzjHXm98z
fUuEC3bTykrvqrFNPK2Ghj2P6In/y5DVQdXz+qWnwj01TpO9KaflFERr1DJvVBBPGF5h9zCa/kZP
IN5Vstg1Oir8Iw1xgfhm/o6EKmxid0GkluOV7oTx5g1Tv8kWgNjWUsb8NptEh5kuNFkWAoLh4hnH
oVANukbY5eTdtz/NlALEiGs4q2UGad/vMXIhErXK9jaZZAh2OfJ2i5U2tHzk28fBxpNMjvm8kwXX
aVAlWbNsF2yCoS0T3vF6YtygvIVVYd52FhePmB7uOUXv4Busd2/GdlCMS0YYiN2t0GwVBhi3wAS/
Ieyiec3RwZg7JHiaBDl3yqodZhmzPk9JIhjJNrXguWX4AXEij40PqNT9yTPhOgBFYDjAlj2bntcl
AVlduyp9SViQz9QzBsPe1VEOMsA2Hf9m5ETsWeCqn7lY1bOn/drauVVhYETJFAZzB5kJkxBiB9Bz
FuQgbUecdc+9Z1Miz34qwGkRVPAx2hJ9uWEuK/ya2bSP+m6jPK2M+l9Te60+WzwVeyOr2pseJUD2
2Gn7J3ypEADEIrzHZmYQJye7ZAs1/HCstMHfioTWsnz/p1HLZNeQ5r1JpStPvSfK9wxOMntxT7dQ
SBMRLpVVMEgZCPvO1rAHL/agUnyxyBT9+mUYJh2Y0bK+Mr504L8L91EuEHCCbPaaC4B7UimHVnrf
TA2Us40rAXjgnvyzQfJh2GjiZoKZwIkh5Y9r/ZkSUuDQjIjlOpQ2GdnJU9q4IzTmSvmvOZkQkPvw
xeWqywPyXDVxmNwEh55rBi3fmgy/PKTUQAkXPYK1hCQ2EURtOE8oOKTeNPNS+EHqLnAGBsmkNphq
r8rRHdfZjmtEPBbwhp/kItYPBufzk6FGQmRQmu1TSD77oW/km8xzfZMNSq8U54y5q1NB6CVW/Vs/
EjwX1rOnfg5NnvxItSrOg2FNj52BlosRpJXYRF4gTuNXUPAnuRrOAzIxT2wH15g+FxgDjP8prneJ
o0lRS1J9035ndxvXzv1qm/ODeKqzDj13TOLONxmW7giJ3LJe4ohB7wazCBKR1BUhMkoaaBChIPVR
/W7RbtFI6VI6D11t9c9tXJu4DmR1WwyCFTE3p+2PFaH5g4IkTi+P/OBq9gbu57S6sxfTobXeFBvs
c4prF2tcm5povEfmn9gAS/eULUb0O83L9ashx9YO54SCDSFfewdXYMYM1IKTaL92U/HB0zZNW8LT
uAmYeupbb8ro92wM9wOOl8ix+EsuEuajtIb1aorKPREwZu7jtuzPnO1cQL1vfvf2CIPZr7n5UDYY
b8pImydNpvBJgx+72PMwHVeZjH+RYad7xWML6dvzWzBLg9Z/VBYBMi7GgB6iyLboLKpDZa/uyeHc
Dia3Ll5skAQn7AxysyIC+66yVjbbFef8vinM6pChWaVGixFbWQ2gqDAe3fqZFonpd1P1b/kkvSdc
NMXvtXHdl1V0/NFxDpF61CIAJA6xwyfAuiN1ibYacnMOR36GL9XcD7+5gUqPwPjZfzVWS0bbqiRT
NKz75HEs3f65rnOH7QFnC4Eko22ffXMYHkvpFucGJ9WrFdWYC1flPiqNbn5jLuX4c2Wsdr+QJ3H1
RhIkoJgjp4rhUT8DLMuzbeJnonkh7mF9wsnNb4TiBiBUqp5YblXHwrSS5x6uz1bkmhS5qaXVsOsu
7DqLRIFkjm7ltKgTHxbfeLuNXxokCFDY+pNUQyJE0xoHOjrChxFDxOOiy++WNMsyB/3ZJjWiisxf
rmpY4AzPct53tQsOOPFfFgAdYa4KROaK0eVxQFKeoVbF0JEJmJkShjvET5eXZ7njQAre601n9PMO
2cx9QzMy4TDSMjpidRt+ukmtHiMkxGiEpe6ebQp6OoHCQbnrwQzcTOjDTgQGEUa3kOmDIV53F7ar
v+sO7cmmGXrnlsTCvc6qtp8044yflevZziYH9jLQ7rK+SUaeptm86190dBcJgis1mSnk3Sj+NlUE
ra7H0lptrbo30i1j984Kcmdeyq1DiXAeyZ/7kDFXVlL6lCwJE87cEmggbLYtcOSs5p196nAs+fmG
STvUB/RjXoCciiSRBQn83pSkxVRJTPpvOgzlTyWj/srucAwLtXh/p77qzzM5vsyCLe+HiRAF7upY
eMY2Nyf/ROwGhaybsbeS60gHI6xkPveiZ5RTtrD62OYw7m2cr8axK3ubwD88RkbPE8mMJMXYkK9X
1L0ccr7bNneRXPLiVOx8oLfNrwj47e96XvQv0rGHV+BaxG6pXN/P/4hwV+VnyPhXyHA/25z9JXY1
mh5GpJQma0mPh7OLw3gaYafyDKE+JehgSK5kPJm/Cul4ZTg3EYblbuHiWipfHaOawDe+KRSQ3MF6
mzRyOi7OEHNzVXF97HqnIUA3FojEsqhYPlovF+xtEn8nRMOdX7Xge8He1NG2JiA7CgY3Xa9jGt0h
SLPIT66v+lOsSThB/Le4v4FIYfslQYyiLtc1t5VIG4xblk/uTlPesQgM2vKBx5xbbAMq886UJNym
vfha82ny3I4PUV/XPiot2yIyrmOPIqoccqCr680QGcaRIXvpAqTv7/9h5qXbkKku3tjZYhCcWYi6
25Jg7u92Sit0rljKubyoXQBdQ9dzuNqPg1laeeCKVX8ybxZhl2fGa3zvrnA/rLsx9vWwtdkPhnNq
5oFG5n/1/El853Z9v8RIRkQIDMbMtsYp2jmoCLY+w+HzWpoWIbGtfljw8m2BAjAkLxNk9m0nQo8o
Td6sSYRGNj/ZBpNRIoPprjEpUISflqgqjh5sUxAqVh/MSzv9sRonu46UEw/ifjrHK6mvLmbIi4EG
aEt8agXl0iHDxBp789M02vQBuC/eqW4WYT2YiNLRseE7k87wmZCl8NRNU3Wp85b02MQyQhvHzbGw
XJNgtQmKTuN1l3Ksk1u0tlm3JSYhDWBHrr/BgCSHGDTrEaofIJsRgtsM/N7Z/fdlP/9a0PNfND//
b8qg/4/AvWhzUOT8j//1P//Npft/sy+q76T7+lfaoH/7yP+QBlGG+q4DwcKC0CuRG/27NEj9w1Wm
gxzTB9/KX0Ki/e/SIMv/x5284Zr/gcP4d2GQJf6hBDNjn39O2cL0/zvIi/9TjW7fP4WlfOpuT4FY
UHdV2X9SjSk8hhNyPZqiMZ77FyYAHkU1IlU0t7662YAM2Keik9iBmq93tjlk2M9jJ/hPP7Z/IUZH
7HTXvf9noRBfhuvRzaLys5WESfxfvxKT9QJLU583xOr799yjiYvwTBynuBSvI4lRF42DixyTTRlh
MGcsB0bLN0IL79eB/8SGjnyxfZ0n5U8nabAuJykBKoVKOZ1xrD+awxIdVyanweL740NC3DjZe62T
hzZa6qekZ4WcMsg9Ivno4BsZ67DVcUEScZcTqeO4sBbwpm4Tc5w/LSxDYoeVtwoz4nTOisRoCnb4
xduMvw8tbCTJiK6JzYBRCeYN9kOZSgPfcUaoLcJN+YXfu7g6kowumhXIgRtttmeNGTslGOUX1un1
28rxb/g8BPt6kfh187l/TIuc6oI0XfTFDPN/Da7XH0eSJm6JPVgns7YEEDFvRARhD48xl25gV7C3
cGOfClIkdYpRuoRN9LZQuLebzF5gI2SW+rRG9MA1ErK3ZCaZbmxyeSQNIdqscOsJo4yNHX/F3Gs3
UkE9J92ht03/EhtyPrLBs0iCK2hn4gVFRDuel8FIHwAxx2Ezt03oMiXPtwwWJdrW2QlhYrLtddTw
6jD7Dvy0JqwmJoK0qGbnk2TFKOwW1gWyM81D08uVb60Fw8yArqQKu8YlaeeoPo2PeW6nXQaS63BX
RyKtoFJta6RbkpL/uy0zpvtlXj3ZpYceLFLGeJ2bsjulsbQDSzGe0fPVTtoDqocz5kO1w7GosIK4
N6J4YVqZOamJK4MOUQJsYiHthG5e+ftcLkixe9UEdrIUB6Y6QRUBh+6zMuxVD7wshZ2URC3rnr6C
YdKhXCUqNmiGrn1o8nz4JE12gKJODtcao2djUWj8ctdWh95ULQ+lQ1i8P/M8pTxWO/sug2gAzd7/
l/qOccPsYbPEHyuEzTtHflqusT1XfM7aeoLRa1GtT/rGQGllsEPXDE8xJcKuuqX3vMikHNd9Ew/D
U1E4al8U9vpkU6LCMaEkLCUStUmt6SPxG8QZkYUVSoEJsWJVSeYzwyIHT0bQVabYTu7QHOq5afAT
IunymcETUZ0nYeWXOL6TOKQtKF+RZs8bd+lcSLL862PSqsOk/fWi2ccfa2fw9hWMlVACFCPltXRp
9wzfDzvMglutoyboYpkeOpZnIeNPgFauQ7Afc4uOTbV0JqoKUKQPJZuLwGi0i9+2XEquxkKeFsgG
m1FqdUt7Qz5Pegb33T/oZgX0NtXO1avtZY9obgrsSVnX2EtuPodMiIDzZo4lmSYz8cJmRTiiJdPf
GGKSvyXS961fDBTS/oqm2pqZR7qSFotT/yDHQp243lH4zDaKuGpyAO676kbsC54AaHHPccXCTjRe
elLZ4ByGeRx/d3bRPnMye8Qo1N1P0YKyuZPHKGlUmVABjOBOHTtW+ZGyf6t5+LGQMbFY9s5KdmuA
N5LxVt+0KOSSnEihHjMJkfbmXAVjBx1unJs4uMtRdqSbS4ABHnVzFMXJFv2kO6DFMCUZsuOEHMKS
syKTIGIZbkQ3u0xrAEKOXxMwmBT8npkcDc6P0vLGJ0PUAAKQ8XXvPZNEOoYovqmhA3foqOkK0HDZ
caYt+34hu5VmI/mBHJKO3IvJiMDwiWxTS/++MGGqthVEpskLsmnn5Np2ZIey8f8sBCzER4gcLcb0
oTp5Re982qlPhk5Wl/ZmGuSdAeaqPapNvW4A5Dd/0zpfGnY43fDX7b0eeijGi5JM9UOj6huAtw/o
hv2hQpXE3EU5GxCn6CybwvJpwhT6/dVc7R+FmyuSEZK4/rRxsB39DFSlb87uMZpTb7uUJb5UcReS
GMROASZuo+KRtmWy9mU02/qosmXyUdrDcflDAGI/PjNRtV/I8pB6NzRG84X/T39Fkaje6yIxrm2s
SBmOai5opJB8ttJf57cmszuDSyqy3+Np+sxJpTwvHhmeZ9Neuq1Sd2WqAyRoi51xllt1f/7jppPP
lfZKj3aj6rEYL+qvtQjnmauw946zmxXZE2Kv+jiQ2/4ystZ7QZOkWeFZLfpCksjav4jzJdRZdmkf
VNXyNzLA5Tg0jYN0aVJntUzeH79ErY5gEIStwajpEmU28z6jndsXkcDGqjQ/1TwHwDRZhMfhE2sV
M37VosxV7bPNaf2ChLU9ZJUx7eI+xvPLZMtjOm97+irXSB6IpIpDl8HhDh6vuxkmnAN9Ajr81luR
m52mnBX+5J0zkRFUbqPSMsllbLYZJCfzo/a79Af0gBFaEvAS0FNwmGSY1qPzU2FOqm4ZxXYdYvZm
vdUXnhkW1j2eeRW+9WRVdMAGsXtPyezMn0XXoFswZvkCpqM8+Vbv7ITEjR0VRvzG6Cw5UtXkZLlO
/BPUWnMWyKoj70+n876txXC2XNvbUqUZT84i6r3Vjkju5rX+46Za7JAJGJgq42h663DNZ0GetdUd
/g99dslLMYTrehcmrskEZwSUsj7g1BpRM8VHmjf9K3GNGQHuknzEBH5f6WSh+iSAQyrcI1uISUgd
Ju7PkrARw9fE/pR6vYFnJTazJTthK83SoBbz9oDSi+RuYSoRBeZRPehzgysGKTcAUnFwYWXOp77O
khPlTB2gW0BzSdmgXu1+TPQW4m+FtzNzrce8ZQE0L4pHARRav8062T3zUTsnQ8XboXTAfO4wvitM
9zzHPTbqeonLoOq7/rOJFLGhmbOQoCSGHb1fzHUkAaq1OJlqiEF75kjxbUIVumPEvxxtxhMXBbiS
5TYsThJ0GvtPYh7vajdljl+QJJET5ifhfnbgKgXm1ghKMgrMX9SX9W6wnEYHlV6mD+IA2seiQ7cN
8rrIA1Al3gM0frXu6TJVFmC62XtGngWwCQkhjxz7gIdW7R0z9RC7qal9AA5BwJ0zWvSJBGPqyLQW
hHymIOy8XjHh+eX0mCAAY5SJcPWckqH+Oo3g5AXbgz070eKY9azgWSPIPiQbbPlDq12427iesw9v
8KOAETT6VB9UFFo/UyL4ZztWl2FdojQPddWbWbRxpo6rdroH/7GLTLfIZlDDRQDcDo6e7eNad81O
ERt6qdzRfMhmF03bPObvmukn9MYYqmg2W2508EkUKzDQZNUFIwTxeNbqHPiW562aLOMwSfyeI03r
oz2Lnroa2voLp03i8OCOYxMkOkXCPUQhqI7plMf+hV3NTrp5EVL0NPs4qsjPcRyg3GNhfK1zNPT7
Cf3QCfTNVysNbC/STTCyraL4M1YuIDBORW5/ZKybTtt0D2RNEAvAyO3qFiwEemMy3xsz9SHfROSQ
mzOzTN8YSAYW487WjCky5iB/QTAXIdoHhLNOeo8BdscU57JrcYo2xjvbY86QRUf4dP2mMvektvXs
gJz2eZ2VfQ+RFPKhi0wgYf6qv5BBRE8Lp/hexIaJ7Rr9W2mR7zMW/R+QAeVWxSaRiQ7pa8qJI4rO
1SJBdCZWnaKA8eRZ8huCMJa74cRA6K0Rrh0qLppN0bRZWKaRe12SInm3xu6hFWrY9Xnd74taoIXp
aW4u93Dus8o7l4NEFOOhpscI/BiUoWk7y5OtiYS0i+pc1MWbEuUfI/Juw8RMLLcS1GI6Z6dFuj2D
TTj3XdZva9dltcnY/Abfrfw9Ld14q6m+2NsSqpKseXIgQmk+udavHGwaFDN7l0soQ0wZD9KwE3op
QlzvcQM7iwuJQSh7Yxz7cXxQ6bhsI1Kd6+SI7e6ULOrSVfE5X1N1jd3YOlceQ/8cizeRhmwgg8Ka
DErG8tub2xgk9zS/NrxMOyBh9X2bB1KgzdMg8ab8KV6oaKMuts/eMNpPtlV6p8nEmjagSsIwgBiX
4MbsPC4M3Tey7ixKUNC2PIbO1iVXPjQ0gNQaA2ZUKIViLD15+cAehYwZL9mb7sQzvWxnfMYBVUd6
isB3bDuR6XMnHDNAOA5jaa3rEcJsCTCNVN5NbDusG8q8swEv6IOdtofWpIZY7cnbOgI3Hbjl4hit
JecfO8p3K2pqjCjlYtwn9cY5iVsiNZgp7pn0Wx/Azu2t38bFqdHrGFiIga+F4dihM/sTAYSZ+OlJ
T36QTdI8UwFnjKvT6T2vovoogW88W9PoPOdrm3NW4oyAMdsll27IkivChDU0Kdp+43mnhbaABW7s
of5GsI/V2EYY1KIdKSMnALf9y9TcfcR/oHVzyOoxXttsNM5imbD2zixsjaVwj1qMAODV7L/cxS5B
FbfZtrYoYCe3kiHkIS9w3OYCJ9MCA1IHCn1HInHuu2YJ2lfn1AlV92WpCjWkwQ7DpsU/9lIcGAwb
JxPqY1hZ8/Bwz6JjcpqDtk4wKVSw4O3uoRYframvI7iKlYg2MagfeTLfqtm0DnmiXzw/28VGidWm
O0Rsl7mW4IVF1j2Urew+utj/LEs/wOb/1THY2BYdq7jYq5LnTI/lgXxRDnbWYBc7nwXPcVcffS8H
SZ4gZdX2elZdYoSu4xWHkngge8FxkmdJgQu0So8k28R7OY0vpqxYgy0VfBLwLgGCtjbn4QB2bzo0
VyvemN9SZHeJh5ut23SuVJCNnJHCNA7kh8rAGQrWWz4Khjp3o7MGxRcarB2IsKPTZ+acuRcALrg4
tBuscDMwUeZsJt2jNSZnqxSHVZZtiHbReWsad7iYtivf0sxuOHOnAY2rWLgY87IsEfhFi3enf47O
bu3T5t2Y/SLwJC3KqtjaMldvzkltTi+Ni6yWHVO2IHz20J4mIjsNZfun0g429XwxSliqZhVywJ/M
hth44qB3jJiaY+aRhNyShReIvFuuq7Am8g+F+Vvy/cGoH5l3gx2wGfHCRpkyD5/+WDk70l6soHL9
TR9j2p1abe7UNGyxf5qceWhjlWE+EyJD/rvQ/vJUQlgQ5M4rMDFsGfZzWpEWiWXtCDUh3yLg8sOZ
qHXQhWS1QpG3A9WombDfyLtMskaDb8Irsv6guGOhyb7G918QVQRpIh+XlGSEIf01x+MfGNMsysym
phAXrcbYr+L20FtkYHNtGtvZKcgDFoYZ1kY5I4AFa7dxjfTAzXXIwVZZJEbMNvBjdM3QacoDWfW8
UOR7cNv+UbN4wDPh73t3PeALOjskiG6otXbtNP3AkkuKlQaEdYTnWr10lrk8yCj5McJ52na18S5T
37mVmR6+DEc20LnuiZ2ULS4NxFG2dGOUKMaL9uW1loCZM33nOjfq0gq26pkjPjnAY7YUrfMusfmQ
zqeWwFus99JVfpApr9uuXbKjht52mAOXevgzmkggJ67mje926J5Hj91Rqf7mLkGrwNpLvBnJXL62
AH82rLW2aTuRcMUFvisjDD+l3BfV8mk0ns3bQwRWOkfIcgu7GF5osnEA2ek1i6Z071vD49wVlHoy
TR6TXr7B1AbRobH7WYVJvWgxMXJxCeJDSnew3QnzSEXBKM+yH7RWaIfBnAV5l0XI81UoejNUHTjH
Lcvmk51fDN88N3Oa8jpWL3eL1DhVp8jvfZDfI1txX2OeGEc/GGurfEWlrT/9ajhl4Ik3BQ0Hoid9
UG2h90OToskt9FIf0wHfHSp/sjatBLNcjxygXaf4Z5xbCPJd+UXL/yqJV5sf0Z8ALP92mXO9zint
H4H20TFhMhRWeroYZHVsKrQuO1O73sEWbKyrebzFJeOWcaybd+Iu1gMqdkLEUtCjodVAKqyGqQva
ZmkuwmViRtsQ7SZ3VS9salHvm6u+1qutmWUK1R5hC4BiN3QKG11fDBcbvj9nml+UGe8bEaGoES4E
ihYS3tvkaPuB5wxK5XJZVNRfsgjRap2ZTL2Oa0YOPR/bo160jaOgUwxraS4Bn9P93axRf8Cl8OJH
2Quw0mTv1lmz7/wmf0dk1gSt0z2OEmUCwi88EkDBoGYYZMFxz1MnszjNEuBYomielYnQAyohtBHX
ZrXNOvy4NnmzBdr3w6nBbWGGSY4qjcEBwu0P4ikxGBEXOdhZxjdUy7OW3sWNG4JmmQshPyJMOQ8A
gcEbqxImVK3z7TLq2vQEUz2yn9NPoOtbdrX3ebhvujOTVL0jAS7+yFcnRwBZV6dKKt2EfZqRw2xE
fYV7b0HXMaNo+4kQF7tlLh3iuFDM1Uk+BiVqgyBdTWDFndsIg3NhKSzC7t0pvkxqOVfAT9/hkq1g
xmg9sLFb1iv2EGQEAssCWdPELVx0T0nmRo11IAzZPGMvqXg6q5KUEL0o98GVmGujuG8PfIgMTZEO
F3p58Z4iRDxag0IBmTSUjhiyLjO4+31lSPNJVE58Q6Yo923SZXvExhRAlmqtMEZjjl6iKZ2LCWWi
o/gDFie6TcaU4uJ3jnghMDA+FYsQrxz81W1UMtlPcXvPFevadi+yUrY7baLKwXxDLgXNf8PVB7dg
sduJMRsSftR5i0i+PMV5sUmRKr8Jy7uOvgMrYpkr4grIp7O0/ScCovnLRJSZBMKT0XdUpOXr/+bu
zJYjt7Is+yv9AQ0Zhovp1Qf4SDqdM/kCC5JBABczLuav74VIdZWktMos1Vv3S5qlSREuHwDcs8/e
a3MMeZO+nUJ/aa5mpx6xI/WbfhG8unnYt/ME54ez82kcdX6uNsKX5xT9fqTLi9124u69ikgDxE19
25ctvyLkQZoj0vmOlea4Zo/QEgkgmxDM6RJE0gUCndMxUtDyXiayuvVwl62renR3bdw+9VOc8+E3
L4lR1+sGItYuNW0HuG5EHlZT9bsAKhyTL3UBzVE9AqgDK9yqshlsovAxjn3/QO0kx52uXDled6KX
V3LDG+VxMt3vhOM/oDn6jFIkKO4EI54NFuX4QrKch4malyqx1ijOzlIp5c53QF38awymbY3/pgrK
1vwE3sWPEZjNzZhzNm7kQg/D6vOjd6JoG5b+u98a3p6qhn7FKUmsJ6qCuXlAmmZFlEkQDKax56nL
aGxSW6cXTyDT7FvT4OdHb3t07EZP2zPYDWBbsmubOBo+fEMPIG+cDQ7qymv7nTWjSpImpsEgVYV2
2y8pIL6Pxxg+3KYgmrMRLKtXBHR7Mk8SCb/hzWfVGrfqhfIt/cwmd8Ytasuj4UUMxWnqowxR6tIW
4z3AeC7OhmCXOwzG0Qyxm4wQwYn3POhcRCvdHoKmd/FSttljmcnbidjVOnZoXyEcBceZZsqlFKib
9T226pYYackyqUQaFduWtnAQXG5anvzSoptX6o3gxzwQhjMcbsiG31RPk685X6XtolqWsU82rQHH
6mOdx6cNJQ2HYsxInVZBxW3xpo1VeEficT5OLelhz2+zdYrj046cq6OkH3TC/+FI45SByiGQTlWb
jT+mmayrz7mIcH23buqEYs7meerkq93DjasUVXr1AiRKryENLZuZBctDgwVmbRKbvreIkZ1qVbab
PnLiZ9uUzp6FOkeaUVHjhfEEyJK7qeNKbF2v0nZ566+i7jqya7qJcEMfJdfaj3wMk3Cd0dtIy1aD
9tLZXAFRYZ+NzmQvVhN42cKLPUa98DaELA+Gw/2UPMac7DxsckwrnBZwRk08TkDzFGvdFjqSIyQc
q859vkYvN5/1Ol68c11lH7wxKz4I1mIIqDqzPPOXyiNV4k+th0SVaWZQcn+78Sd4sWutH7XPOeVg
xvNwuCbD3B/Ap6Tgz5pWf7WTRiMVlcOz4qf8PBYZLYRo7ETEulhRgpgRISTqk707o99/xm7LXIdo
4PcshVL45ydV2AlR2kR0z3arkkuvjVzGU8qXwI5piG8xt0vKt4h1E9wCgv9Ieksd4rGcuV01ek89
kms/dbERF7sMUs1NQd04WchRiJLToJldIhvDxNrK8A+u5igHcOl6iagIPrnJE74FDL8aD0nYxGYS
MFGLvUuABQxmWZn8uxj01n469K/SLT5ximvrdmo/GcsXrmFSyo1em58ZBz4WbjOCFSArJBHV6d6p
N6k/X6LVZbPpMMHdTE4Zc6TU7ddCplxL/GNd3WiWoz6szEzcNdz8Mqi63v6SHMiDuRfOwQsjYDEZ
0mrXgIi2e3bCjTO0QZVk9rVzBHe02I34oRCDN4Mudqwlddqwf4qnNYEmf1G6yFQpq//Jp9MFRTua
a5f6oL2O3csZBWvILAQDIYWtrWUos5tWo8oHZS0O6jInXEcdGoD0Om9XYeoAp54AFkSwZMZ44xqh
/UG3XNtvgerWR6XROmu2tFqbqLJ7F2L5JcNXpdYLg5RVNHFTi2acrhfGmpoJlwffmARsFHc4JAsi
cN6PItajgGI2eccPvyZy53eH0izNC8GFHz5BeoztnGlX3dC/iaoligpkdkth4V0X9xS7V7m/6ihl
hXtvgl5u83lTT69VQsqXmLhllrdsBOlM6LByRhXYnSltdn7izc9FT3PtGOHi6yTwqXE0XJgRzdGi
GGM9unOzZwqMA2VBHCADxb2+c94BRsTTVhYYuXW/b24kgIbtiAR2L9KQoL8sbPHIsmkO8E6H16EY
kqAlhvYWghPIZkSHFBbSpWia/LkghLwuU3rbaTdOrt3gW7vedhbWkV/H2Mh4MMxrOYf+KUGWZOpI
pXyMO729J5WW51szT6CD5iCgTmDjORJEGKo35IgXAJu7DmdrfBin1NgndtfvxOgzoJXLVi05YIFn
dWph8lme1C6Dx9b1QVpVGAJWFXb+57GrmhWmYirBWsjDLGaNjUyGfgtD6pHJjFNKK5qdV1bWDRUR
fZBPWbKZUvOd/Vt44iAizxmnSVyzDDQTCWYC8Nxqe0mWDYRAD6Y6tl9cIp55pA+BTKxpr9rW3adV
1Zyq2UjIXSn9Ph7MfseSAZmzrQYM8pxa6h0sw/Ah7kfnFrmStwI7mNhhIU6spslspnQ4rBz6TG6M
sLPXbNdIF5Wza2KjoL3oXMyj+z1NBZ3RbF+YAdm6jcehId3riZlfD1rqYzSL7mJ11Z0WzZsCNe+m
hsN3EJkr/ZXu2CV82AgxrtbtmX+h6btAQpVZw3T6rgfHoFnYYaXillb3lWEdCFotC/dWRC5uVarK
3GFINU5CH/cZcdQfaY+NZ+v3Gp0TkV0kz3y/75NZy92IiMCji706bZUGY9sY0jygXnUh410sEpAx
gxHbpPeQ6RB32N/pGyHovMdG2DnbIXVYKTaE7KcZT6RXAyJuJ2u6kxPPx6p25aqNGQzIaZ7cwlZq
VTk2Dxt25pz/6ylO7tuaoOAql8q64M2kXqTU79g1BAksDjqmpycjs9OvWcuTR+U37hcbOP9sd8Yx
6aRVrZi3Fw4YFQv4BRMD7DJMkleNheylNGqqjAt6IIlxahs9tar3wZdL6w3eWWqqEgcpmDPDJxoo
k4dZW5fIxOuJMQjUgVfkFxb/46GMC79aqVHopyhPuLQlJs5es2swEtpb2IzNO2BPzVk7Za+fUJ95
2vTSlp8hYiVjghgcQC+G3OPZ8fmCuvoFYegNysrHMPoZj3GnebLMODsktU3ggMdp8mowf760E548
7kL6tB8azunMGoppigAybSBLSaef9FtM9MXVm4ikhYXnXNo8d7dmlQ37uUjpxUHpawNDRaUAizPg
yRgwYg5Moq22njJr/WvASZElgtltrmy8qNFISgMVI1Lj3tNAxc+x5u20ejSvJWS9s6uxeW25H91j
8tDWM0o/QdBxvMvsSOxNeNav4P+tJ5ISKV6HBThk4e9eabRN7xRMLzg/aWOAjBnQnfQm91h4tdAK
iCLQfYqZyI14EiTECKgzwAUPCCja4P43gfDA/2kLE5NPMTuE7WHCyo0D/2XruepbGvTetUDAiWBK
7AxNms1b0yKjhra/TnQDvg93U0gMU37WMvPO7olYK6ekeM6e3VtSnxB2knH86DMLbKHyBu+Kd3Eg
+WvP/i1IvPyeJa3/YEIXvmOB7XzA+SxO2uSwVyNCf5SNS8gkijLKKUsoNQK0yWGy2leFDp1S5wCo
ggbuNMBJ0+x4lOJ3Id5z6cz8Hgteeh45c+2lr6yNGLznOseTrwjDcJT0RvlU49e5G+BPjSu9E/J5
rGd2BHSDYm5K+mpdWfNNww9iDcmuB+syuQcVp0vBYHy08wQ5MvS8I4zt2ypM801n5d6+KKfigJYB
mprwB1fEOByNCuPMLBv0zcZ14brgf36lahnXh2VZL5pj3XtN+OSP1XAXwzXfuOAKEYQU9OPBjjf5
KK8xe8IEN9Qe2BDXj+9Pp0lWKK/ZWNwSQWrWRZMeLI6z18JN0A0Yos7+lAPmYXiybirXL/fofp+e
qh6FPp2iiIWRp9nHos5Z2kDk6fYyHPXXuKmBuGS5v7OFyJ8MYrA0mLCTPhSyOBql053QBPCECHvc
JIZZP2cpH5RHZHbFmFyTzGJRrbN8IN2BX6le186QBRFklL0JT/S4WFDXuU6xxQDslj4BoDn6qorY
y8ag86/cpnuIjCIdtzw5yoCdpH7qzP5n1RhoPSqy92EC7WaVsYq85b5lr/F/TUf8BILtdATSoI3G
Ww8Qxd7vvPkei2W2nSnsu4B/KO5rDhf3QzuZ2yjOq7cp64lmxd3Yn8YcckHsG963M1rhcw84ZxXP
DKUo0oBcuPJnMk0JSNsiyaYNuWVUg7jUiKWaBP8LOz7IwS4PeeyaVyNxklurUAjlc0zOwB+s9g5t
IP7MyOWBGKowpVsIkdgdDOc0OUq8Gukwcj+bFarhaAP2mfxmPaVjhm8rYZ9gC/+zDn1x5KASfSIS
coaQixRl1fKaMIRTPd90ZJ7a10UKetFDXFmUKOnt20wlK8XyVvKGP22+oG1QcuGH2nZufPkz1oRx
T3iVzUFYZo+hDOMtawHG+0IjUO5X7oOtA5OIwR6uTVAV933E+nxdiS47trFMv0vD6ikjanoWM1N4
gcRt23gnsnxPH4XAPx2Gxy63rIBIPFsF5RX6XZZNwxsyi3PDyoqyxtLryDgPQl3YGIiHvGMA18op
fUhL7UOqxgvI+4KNyMIjsQFCB1ChL1E9GtSL9siKKdfMqsBDzTMx0TAGAVFqwVsfFHZxKFMaObmZ
dfHKHLpmkxVuFcwNQkYl4UzDCjC+TemFJxw6FdxZjQgP8aMuvnM4HAQs48JjXnIdgkXL+dky6jM6
oxawjTLvh1KF95RelNsII8BjESYPPF0589jM0jx+weznrssuLU5PKgXo61CMSz69YvGkZS07a461
FD106YtPwBAxWgvj154CbrnyMzkgO6Bvz/hquEUlWhq4dK8Rd3DmH0WVODsvZnun2tyiJslmjydJ
r7HdmR5Qw9q9bYOwH+ZFe6/0Tn1jrpnWXhnZD3NtzAcS6tma702tGLr8Y5UODpoGmxguVYCZAn7t
1CtgSexVSVpgy0v4WbLBzsfbPmmvRMhanHFtH9DW6wW4yThzRom2K1jdPKievErUK3uvC8J4a+UZ
A60j7N6/Z80hadbMBewoPgNHKCtIMqc8gOcMbxvZNRcBv4rMDv/9EVwHtHxXeHzkxk9uONpNH05k
Wp1M8yiyyjLuQf8br5iU0symIO4H21hTWvvTrhf6rh1mbxnIB1YoWIafHEi8exv31V1P68Z76qv+
1rZYuqDTYoalOyrjjiSL/wEl879hl/9/yAiPbx2k5L8wwiv1I/9j8eM//sA//O++8xsha5NHAs5u
hwTKf6AxPf83XPH83Q6+XGH++ie/+99N9zcCUzbZBYc/bHgLvfx3B7wpfjNgGftEM1zbtlyIzf/X
of+71Vz95f//rz9w0J2Fv/kH5zkscF3HnE/21PRdwWv9xQNfxu6gx5qCpE1n8LAC0xcb245yMXKQ
JUZLLqM5u6NNnU5lHyN/scaW0DKltnIhZLUuEWVi0m4D/bE1gsLTiT5aud2RiNK6MMG7Tf2S5zeQ
biGx/5yMxaCo8RQ/UsnQwftDy1gLv08OThFtJanJO5EU5tVHVbqNWJ4yXGoFvBE/OagoZCdtigdP
VGrNJ0gDRWU0mxIT2Q0+n0B5QJXEILe2Yx1dehzdiiDr3AzzGmtesTKXG9LceGXgIiBvRNrhtrUx
V5S1fxNGmnHbayraiTl+L4wkOU1mhl0QaxMGSLoNS9v64kZqr4defeIC83C6gLxogUBC0QmnAz6k
9jqDEaaKQ4+//JrgfTYZ6kjB0g931Lw9CTFQER1Jp8HnNb3E+Rn2rnHbgvGdOxbDdCNwPJDarVO7
7HTmD+bwgwbHpc3Dl7G2TkzHZ8FRFhTXMRcwyWIdj6Rba5+i9IYgHK2vLKt2iuq+VepMYN3oHCNy
+hj5iMUI4vPWTrEa5VFZshOUL1lsj9vWdV8BXJ9lQ8LLg3emhmaddCNU6ohojtdpYCcG1TD6GMc8
LycMj2KHU5yhI2vvQEGwiJzJXm0FmYX9UImPadDwezSOfoUkY15oh8ZVBgbzPVegj1al00efZujg
W2B7epd2FjdUYxCfTdNpu6yrvQsNCu4Jy/L03fgtjSACSjhT6wjesMqHcxOnF92okm/RDNgDpgqy
YgSJO1fQHewka+mi65ggPMwbtX9MMUKtjcjgCTlrjXXhsB5yq/Xu0tL1N4Mz33txeU1dfadFgwvm
IxkOdp8BRK1b6HF6Gpp3OKXrDf3Un0SPx8DTsncoLf2Ncp2DZmazThWHSu9dt8MkjxPpNOo0mdQO
Pi5J22UxWvO6FMV0alP3YmjCvm+pwTDOdDlIn+VLYdSw37WEFa1Ic9ChOWf/NYCqCDOEDw9+JXve
7CarxIIGcDqe7Kw6clqZ5jBnP5FIhzesSfOeWnSSydLKFduWxCJwTTWjrq87ap8lj0l4+FtC5VOE
vSZOHBS6MnQ3YRYOLPukwQhPBiweV0XUsAXTRJK3+w7qUAsFjEz/SqYiqV5w+VEXy/VMTg1Sl7dM
ZPoSJu29gsdNzAhNsAAjwims42wIPHxVBqnXpoHKadacJlM708rvKgVix+uyKQrI82b+OkKRBloO
dBzwVUjj+pY0KOogcDS73MWWMy0ocSSObYv4FAdhrnnqqzT7GL6dQTpuY5QT0n1R+/a7btJcT/NE
d/RbiX4fNd60kaGR1CviJnG5x1yV4WjqAc2sOVoSeAS7T9KH4xQflptqmDnEFmJA9JRKnSuEIgXS
hKz2Ulnk9IRG7c8hrEuBfYFEBl6VxEjvHArHZDDTx+QBHcdoehunBd8+mlAMOn7Eumri3czWuuPR
VjNFTMC7vItd44DlsM0+60brksB3U2wtZk4wbyV6gyOR7yZ40Lr43i9mfcsWhxfsqnTDPrznjVbk
0w9TODb2qmYNm0G+cjTTpJs9iW8KkjE/hqLsBEmJsaa+TeGnj6nTPuQj5y0PVdaG3oK6pB5l6z7G
7fjqFXLcqKKe3kCT1mza4uxqSYPbXhKRGCmK9gEAexn0vfLeIrPmbGm1Yn439PlrcDqMjXpXPIda
syGlvtEUQcsce8zJ4e8leAoKCnYantc+P7dNn1og5kM+UVx0ixlwoJ2TZGx9mZoMqFk8ht0uGqrW
3NCfBS7VLIpsOHHXfu5bMbqBQyL3gXB8Zt2HGaW+Qea6LDSIjXCkLEDmTewTRsg42BH3FHPCjtKJ
azxkrgFwymG7sBqSXMUbrxHJY0MRUf/OQEDD0owrCF21T5Szosl2ZSTptGes+RiRWkGa8Vs2Vh77
PPzK1RxQsbMwhVV/17ZTchEa283eGscbz+quE2WehzB25NVjYmIo5ZyozbqLtpaNb1AFq2ul6VQc
9WS2HhWB0esUNnl21/tl+VFYNu2vFFIewj53NTyp1L45YWJcNcQvNgmtfxnbhWuFjc/7iDjvvmQJ
1mkiKzbJnMbq6PsKW8v79rK5PldTN3yHnCkhGwBfyR6xpXOYdTUc9ablxPHWLXWZfSeUR0bkvGL9
Nu17hzC84bzk9E/uEjpd3MAXOAXOBu547gpTvNUKv3kso7qK1iodip+m65XfPY7s16E2sb3WIvY3
jp1jw0XaYRhPRsZQipWsmyhTWn6DXUA84gis83NRjV6Kp6cUDstvrZdbn0Dpq1tGFkhF5Y87WYWl
eXSMlHSz1vRXJzW9R70ssnORoPmhzIbuU9YY9vvc8QRJJu6qK+pQolcH5sfVHI2IANGU4c4gc7bx
TNfZh4jiWyOyDSyFZnvohUnvWSRQMuxuWJDKKcn0wENOr/H0TYKQlD+rp5E06y06CKrnGCl0JifK
ZsxbGjb7ZTW0EAD7Gp5XoxOsY38wZbTEwitSFAmYwWxZyr42ss9ecxXxoyujyFqMlH1owZHyMfn7
RWOxqwy7NsSHamoNE4jO848+aqe4ouRq08V2WEpcwZkgoo+lZIbREMS9lbIWJGfFCBVB184iup4o
q4Xe6TGl76LGt6NzUmg0oPXF0F8NPCjRUVSzrZ8HKWc26NBsPKSJ8t4vx4rkkdSm7j6sE7t6DvHh
j5jX8XpQTWT6RCaKlEveZ3eOCZssTOoa3m5oa/+RBhfnKjm5oJqE3PcdPER7TczW3re9cVOZibnn
eZZfrJlpG+nO2xEiYyUI2peVrVTzWYViqb9mS3JKsErX6wovA4Usqm8+R8+B0oAniOODpd+qifhw
0oT3Ohf8mnrdcNs6iKSKsPGrZ3T1CWxO9CRVTeBfkWbHeOZEtIdFhLg43RR8wyUmm8mrqzMKBaRM
mGmSwozR9/haq9a21iEWmfYOAivV2JjPsZnG1pMY2rHeZQkoVWKGcOHxPTtOiiFM5geN8runyegT
vuZpcqOtP3Xdw2hBjTsYk8eEaM7RF485bpZhMyDp9UNsRfss0cOtwfzxozJy/zQhMN3NoryrXWPc
KewhgHKqbNUUs33GyO5tis4+1bONcG22j5GTpAackRAQgT3/4IEhHyLXzL6qruqpoaqNOhgsjW7A
tgG/xyhTf0UR+MqytMNDlOnDPutzHlDVGLusiZNGGltdWSKoLXfRgPDrNTt21FF4Y8fE9VQ5oBEP
I+mKFD/qum6n8rNS02dLdYmFZyDJyWDqpg0Jx8qw8CNOSbn6w3D2+wz0x5lnaQr+z6ztP088SzPU
H1K/Fm5HvSS5cRBlVrcry1bNEU6QfPz7L0PcGeim6bguNuY/v0w/50UZhtpwcMeG/TMBCAmxqRbu
v3k7SwPPn9/O8v0alCjoTITMc39+HcPXzBa7QneYu6L7IZcnvLMAkFfR5GXxetTS5GcGCAbcRpub
3r95dXP5tP768i6tAcL3XKbbv77NZIhSjWRVexANlZj4NtoH08udgEztzI9UZVevxmIEc3F6S6cS
mYPTRK/7jzOnC/HrmGEAkFoOHoXDuX8e70a3LA+OVSOr6HoEGokiTlRhbUiyi2oablWlO4fIWnHJ
0sY//+vv7Z/fEJOwDuPG1w3PJBf+589zxo3qZmVXHeZEUTuHSx7XSk8TC10rQCd5xkeZZx3+7ota
uqMDDPI4mTqu/pffZEP2UPQoNLxoNJ8tF4hb3qIdRke4SfXfKktZLgBezNB93iB/kxCLJPCHCyDy
LbPIvLw9DHOibe3G/BpTLcj1sf037+qfrzQM5xxD6L9A5IB38ucXImsFXbROikOCDa29CKMKeXBC
xOn2//rjM/75S7NoGGGK5JhoYjz+y5cG/lFIe7YzcGaIzXHHkSLsxjiCn+Nb3SY1LVPtfORFn0fe
oC7p0FnijnAebEaOfN2v019lYDLAFxPO+/HX+bD5dVb81/+p//SZGIbJTwvcKoRA115wCH/68DUa
d5rSSw5pHOvuofK69m4sR4alv/06Fpc9BXeLkmT5f/nsnTpWdRR18aEIGQY2DVvnBFZjlh1/vc7f
KsX5b8h9/9/RMSzf5Lr5r0VBONA/mj+Kgv/4A79DMbzfLPg/yGKmzq3bE3w7/4BieNZv3Mhd0wFz
YVs2a7z/gGIgCoJzxPO9iHWO6fhIdf8pCvInHI+DFNsel2v774iCnvNXHIWpe55FVkXYywNFt/9y
h6h7J1NE161dFRriUUZi3nRTXBxHfJqbnvF419f5W5zSvTeanveWILWdcRp3DBv8j9gVpIhv4lKk
LzKOaQ/oZ+fG8As3PIxzG5MxMJuY80HjOC/mPLDIHorMOYcpkYxV2uIjTmFA7+hOm198gvjfc+m2
L1SNcDin9KK9OC5dsiz16LJUurYWdZkG2Pup7G56875TQ30SqgD9aSieHPjFD1E/LTW3VEqzkZxN
AU1SyZPMfEtx5hXFI5LYrB+4kWgnSinYatiClhSshoh/tDqGT5ye6x1NIvbJ8cv+vU4qPC5S81JG
ccpPnkMKFZ5CexrwAFoRf7dVYvUnvEiyg5O/+eUvlx/x6bw8NmqMAqAf6e1sykaspOqSs55Ll+Zn
4KGLdZWTEN6q5qpVZerjlU2mq89dLmDYK24KTzCD6PjegA72ds7uDznwG6Oddh8C1WDmT8KBQ6Gd
s8/Q8DCQepvq23hcSB217lGzAdgaI0IUkwBT8zQdHHZ7ONLw+aOZMIeRUrNwh7nlmSOSfZCGgQMl
h3ce5HhP9mZn490cre+4XWLwToxHGuiBaPZSS5l2Sl/voBa0Ot9u3PmQu2YPL4lim4bzp3C3EzjP
QLkGu7dSp9nHspqvqc1Qk6Rivu8Y+T6r1BjejLZ3jigj0QlZorySXjOfQLE2N6mdSpulje5qgV3p
UtuOhAdIPFCmjP9Lgkdk7T7tcbP5rASLagvwhAncLkV+RA52zxRlD0e7bZEo7QqpUWoD1F1S0Nhe
s0ewTcgauoiHfWnirk9mjVgnDGTqVqSNlUkn3HypSEyDNE+99sZuPOts16QwdGNpLAbm1h06NZv5
qhj4SL3GwaNmQPm/JlHHtJX6/XgOYc/k+hy++zCFj1oqxJvLNv3E6J3tI7Mx+ZhKw79l9Vnq1DcX
JPirHu1sXaB3g3/wmcYxEBJgQXAYkLk9NVsHhd7EctOBJ5VMfXOvlWQYvElu9SHRNnZVv1ck8eHM
wKDFTqc91wIqV+OXR33stMDtQmi7k7i0KV5bNhkB9QNk8RvxEsbJNu9MFZSlSwv77MZg8L0Bf1H9
SUy8vs2d5qFuqm8/oeYitGj48Lt2VaHZt7MYLjmCi2tXYm1Ih3YL08Gm7XT5JbTJjCHrY7EJBtOk
2AfsIJZzMU54fejoGPXJbRHH2QE3Tr0edCptVyKPSW7ObX7GB+dsuQz7JzSu4kbTY0YfIr+7TLRd
d6X1LwTXSfktDDNdo/Un0kYg4ySmMAR5rYadtI3iT7y3ur7hbkJKuKSIyD9SARrHO6vjw8FtnWkj
e46B/0j+kK2vSpqsybhaQ6eRz6X7nYWom36hudJvbEgt8MDe8LNox52R22Kn90JHJa/pi2gw2vcD
geY8giwBTSsMn1w+2nVH1nQ1VDa6AuG0hv70BeqmZ/gOC9l2wcQMfoObRn/w4FK+e0ZNRspMmv6U
myaBRTdM70IA0YEuy+QbaBarQ+KGmBjnVp+Cga37FiLPMBLpd7ngrb57o+ZVp+kPfv8KmniyX9iU
FDSndL7kyjVvUPJpkafyb0+MsnkVJvJi2EzEXELqwHJWH9tMFP2DnhkNpQodQLaciWdjSlzQqmPW
4vNXd5ReLCgydusfER5eFvH+fo7sE/vt6dzSVPTamJHCwTGCrk21B2bRFBKPl95PlNNfHAWTl4Jp
Oi2Kwrqri3OVwOHr+wnIEbgj4Ev9E5uqPlBQNMy1HN36gH1bu9VVAUDY4td0GaomOzOl062Zdr5x
hEP5Ridm++ZqafoMT7a84WNOr3k6i/eW3FJKwk4fibaQDbpEMcGbuJ8QEs1oViQKgScMZM7XiiQc
cdC5mDcDFLit8LtTNs3g+ebehhrdz6eGvg9ay5ncH+YhzShbAjsJXt2k5J5K8BcP6Acd4mN7yWPB
EivLZ9yr2VytlSPlV53GHWjrji8p1+zkIRMRv7LltV36Du7aIjEpUEKUNI3K+TSGeNo5YcStD2P2
tLaKDDw5tp2WDjnMD2cXt9cSxsl2/cDjvmrqwICGBJs+He5jX9nRqgUnvPNoLj/48xTtQhFX6yQM
sxe6xecn4ALmeaaACsAt0fhjJbBUrQtI7odIt74Iuacb3RjSDzv26nQ7kzZ6Gok5wIXk6FHQatq4
57Hy5I3pqQldinsrIdAfliLnSfhd3krRRKBflUXgYg4jnEqDn74P3E8ljGrd0rZTVJRX9uYGI02d
zI9U25l49sq8O+qqcYCxpP3TKI2vpgMusEtCpeEbwyjs+ir6SRlFFBQOPrTVZOJunJQg4CQGf2Tx
bpnP2LSGR+wIw4+QgktuulRpuCuK3FlMuNKunqg7y35mFnoSHeFsvGJq1Kq8Nd5iaZrOvoFdemkR
pNjQ+8EYAe/xSuIQM7a8Vz+MPpa0KZeWd6pJ1W5zk/hhr4GurI0HHdj6ijKl4TjV4S06f73SwcSu
vW6YMSxRjPGQNlwk+85P7NNYSOehx8610lRn7mTht/C8JIcOvILqo5L5LaomXxSN1Qez0uxdDb/L
XLFlkBt6+LJNYZsDsHV+092k82jNQUpUPFOeWKVkgUFMl3Iso7nLXDE+pdWsbagcgLyZFQ5SYEb6
oLS1R6Ky21FMCcqm6V0HZee3DUlO9KBEvhgQfw99k3fbpi+qr6KRKcksGhQijlv70S38V8fKp0to
OOVXTwFTgNlrkKvBcaYH5Ph6D7GNg4mp9iLS43NcdlB1+rh+9ws1n0YsXN8uRmHKqexLZYKNzuFz
HAv2lh/Trz6w5Fc3GBBCQj1TryWn7Fd7mI8f6jsM9YEut6VdbFyKxkiwcSPBjvWRw34k0KooHVqq
yYZ8SO6ciXOU8au4rDXIH0m3umFXxR4zKVg1hoIlgRq/8qX8LKEFrfOsloQoxWjTUpHmLWVpBOjT
M4GsFPrncObQmWykX4hLRi/FPqy4rZdL9Vpl0YnoJuepjT+Q2L8qw7+QG1VBXrbs7cVS4VZWS5tb
XQH5jGl4456YdyT1QJDkvxrgymkskrU+dJJjxFIS5zrUxYHxojhOh8/+NlSz5x77UEGWciqf777M
xDeHrLLbEUYxnnlI1btxwEfu2ktD3ZzXnP0oUfK/SDgZBoYjnkZK9AQMM9vdCJrRFpzxTWpICsM7
dzpKHz+apSuyek3ic5pbMp8eqitL+Mj4P+ydR3PjSpq1/8vsUZFIJNxiNiToRYnyZoOQShK89/j1
3wN193TNjfk6Zva9uRE3qqSSSCLzNec8h7CwAd/LQ5rowT5rEM3kyxxwaOOTYZbWNScCjPclcM8K
ZF+vMoBYLxiMjSuZaaDcqDPn6/onsa8UhPelVNb3RS3rK55X5g4kY07begn7S0BTDvjGMPGonzRA
8rRJBvSpcNl2YxPFAJOn9zOINOzdAKNeMaJkV8ZPyiC+b/MaMj3G1qRCg0axmslVGFjFBQ+aSS5m
1pDE1fzkFyZVTehGMAu20olfhs8iCdlElGWLlWKJQAxsSgygZociSbNr9ptW6rVNdpa9Zd86gVAG
BZiBYYMYZIgOU6R/BGXnAElJ7FfMKN2BXS86a6wS2OQzcJshAl8GIBAsHMNl6AssWSuQ1MOAGpyH
ZqrBndZsZTcjU72V3RbOVlXmzoXX4uFEQV2rIRRcT7Ff7zi13lFBtQD+SDsIHRXuIMVnoD9aqNHB
hS3ud8XoZO/nhXYYYx8yDkJWYPULpegaVYm76q2SoAOWpPdiIJ4yR6u885fIykT4xprsu522tBjI
R/e8EDMcz21eUBvyk0AAyb8FOyUvCrS9tEbghgkFNy1ysoqAIC4c6me3HvDyhsEDsZEkpKTBI7lJ
9op2EP9Y3N7QnecQS5wzgyCY4Lj/jQjjKM3IB/uQq8SMvTwynfXsRtwNInhrC0k+Ja0Z42HptZ1t
efNQTaukCNuDDSp6swSS40X3Z8+PMgOkEW75BMGgF/XgpSwXScKQEoWTSk+k4zubOHzM4b5Fz+Gh
AbiZkZ5eBlIgN4Q/zED5ZuDWhu8i5nV1nPRTzUbUlcYxzpvgzicba6d81KBB1XebSnRk6KhokcuV
QAVnmG8UpdrU70bdhK5COKa/dtJkMhCNduRC22lbX1lYziIwK7y+Tg2AKhkXir6h+r3SbP+p02X3
AnUcHXb4EwIbL3mwY7NEw86y729TERMYawWl+0SSzviObcE/NYSHmHsC6VcUNOYLi1loXa1mumDb
ZhocYBN6dGeVwYixyzDmfTkSzMfFIZ6DvEnvWxGUSIJqZaG8SNLmaNs2AU6909QceX35rFR7b7D6
3InWeSDJxTxxwLCwikpnP6bVO1g/A5HFIgUY4zXWPRceg+i/5NSFkupUONdBZ6C9mf285ZEr09fJ
caxFEghyvaj9/o0nK1qzukIQkGXhLrNGazdOXNUm27qDDN0Ax7kc963DlGDlhLq7iWRdnoi2YsCw
mEeeAjNJX4vUjXaR1XYkAtmN/ehQuCjEwlk6wmuCIvDv6VveRu30MJVf//kf758ZSYJR09bR7/bP
YZoOQZrJ2P9//LZ/r6f3nMH418+3O3z+53/8/Wv+NoGzGaYx5hc22rclA/ufEzhb/QLBagkUBw6z
NrXM4v8uyzPEL4fRm8VEFdy1Muw/JnD2L8tgrOvqkunb8id/UeH9K1WeaSMK/GOrghAPjR9WbZN/
RRD++tfIalDjiGwSTIZxrzk3rCsGyA1znm3hscUvAZ+vVxOW2CEHTpCs3MqnaB6JJRNJ1e8Zgbko
0WpYDorvATEmdp8Kao8XOeT2Ndl16jEyoZEPOFgOU2bEH0WkGRj+gvGQ89+9lZmoYR20B9O60lv1
mYwzhIem6tprCyv/A/oznpQItQwGJgKaasdKHyT5jp6zxDct5f+lqYyEMhL4Q7vEPAFyhnKxRD+h
EmqONSvPJ+6I+Mz+cxsxDIIl4hJOkFU8WkuQVBwTKWXZaGLNBIq5EdNSFKnjE1drVuRlWEWAr87I
d1ED/0aNSeoZVZdsyD4FYd/W9qrHfnPdsXHxkO16TmiWqymyxBX1fXk2oHIcxyX5CiB2f61kr7b9
konVt6I9F0tOVmyTmFVJ1bDrbHRwe0RppUSLHuC6IMJOWXEmnXntd3WKWm9kZTp27qteKyJmtLzn
XpdIw2WV3KRLWpe55BO3dTmt0iXLy81IO6YixvDNvsmTIZb4drbTjV+3zDeUkI9+Un6zUStNL28x
DbNTT4ZX0Y7BU9sHw8sU+s2D63f+lz4Tn7BSDjQGML46a+pJYDg9oCshzzcyQvGauaYCX0+hxQhr
tse3eKoGEFS+ii650/tXRIaNJxdxzaYucb1Qu81O5BWE8HjIbojF5TOiOWsN+32xKrsZzFnfZd/6
NOJY6HVMDqKAtlI3RX5lZEpjEmNW9+nE+6KqTKybCLfbiN4Y1npxxHlrnJMlnS1bctrGJbGNNL3u
mYiY6ImSN/CaSruTVlye4n6Q38AxzBWB5XJcxV2F8z4OpvFWyvgzDJ03FOD+mWRXjGdge04SBL3X
DZATVm1c6Pqic+G+tO2SlKUliC4siN6DfDgdscXYN1kJZFhL0GzkhCkMS5hdv8Ta1UvA3URMxT6I
CL2rl/g76GUbuQTiFQhtgpWxxOQNS2De0BKdN1nWeEQZZL6GRm3BaZ177cVe4vaCMk0OeTIMbxnb
offBRwIQ0mF5xRLVNxhV40Xu4CWWeRuNekWEDMF+bpf272hfqidzBN1QF53xWpJzwba3N6bVZPhL
4Bed/1llTG49/ioRgo3pWvT3KjgZIUQm3FrljTmSZBo5Zfnsw9bGXZCJbi8rVHZrkZUJ4ZqA63uC
lRlD4JYA7qQHaCozdJIGZK8WlRw/r0C7icZRH56sLLKP9NOTR7dVnH27ZQjcxvImwpd8LvNO37Qh
iqmmt2skUXTK0doqS+uchAFWND+liUD7pn851gTRxjKrs0QGXwMKrmYdiBOGzx4iCYLIpmEwiatk
eIzqMK92uuWIdE05n9ieO+kuQdAxnTGaZcQNxlJfdaBmz6SXdJsiNcS2Q3yYoxUj+dQrEeM56zwO
y01r2H2El01zrlsmaLgTOYpfbUWu54rMwInq3lzkOxP59ISppAz3MLxZIJdqtPpXuMTBIqklUJeG
Ebe91uefDeOakeo7kG+qNkdzlZdN+DoWjqFWHIjYTew8tpnHk0Vtv065agcG9IbzqCN7uEZyMbxU
Qs75MWIOZK1Qvk0HbRBmTvC3Y+iEFkXaB7E9krABRtYvHbsJZ+OmTn0RS09gFNNyaA8+mZ6Ek6eo
RwEtbDEYTd3OkWIpn6WrvVrhSIZ6UuALXrElQZKGej0Te4zOZb02gLlck81ShZtxbI1xE0gdr1qj
DXG9m5jFsbGRZnEfWT0V1eDMtDYUaM2HqJdsiK6zrBDDsCnb+zIU2smu52zbZWVbQ8IOGUvHFd4N
EUBOwBmfdK8RuBNzjeIWu8/QDQr0TDOFDOc0C99VY/pgIlI9ZnoL5pieNtGPTF2sg663TMAbbHLf
tWblz5jWm13BJClds49ieJKMVXoXJbb/3MFWO6eu+q4mrX43I/dOgRwh5AIrIp1CWljbTmTusTO7
8W1yerY7quutNwVtifgQZmoHYQUwtCKC0naB3tt3fuLMziVY8tlWk8r0CvtGPWxJQOQXIMez3SWp
26qVRZM/0OZk8SNbjfEEkC54EsjcKyZ7irBOXYiBCUc9fOkOt4rhDgQ+IOUANQtj9awlfQPkVeno
r9usMw+ahlSR2bblvJRMhR5gUSSnIbPJrAOkyAewCBUSbcbJ/c5H8vzY0Xqck8xEa5FoxGJscpSX
LwBu+JltxABHvCkqRwocwcxpGPwdizStnplcZ+qwhHiWa9/Grrc2XCMFRIXK5yrJeeM0I8VjrImG
H9Dsg/Sz0noQqQDv5mvwtTwxra+nz0TxdCfOUP1d6O30zK4OkGOuwJn79hxz9uYkpQ98awb0xdi9
unz9bdPTDhEL5g6Ark3ttUq5oeTEmo34TC49vI07P8rdp2AetUdRuumtMtDagcXA8Rq2RnY20hzC
fIFm6otDt72BlETXxgiifep7NbXeHBnFm5YU5QGDFANdcoaMezMCjAhYKtE+cjRK8EssUUMrc0G9
rqXvUCqw0Ejfo7Ccy51GAHO9QelMzlYcFXW1Q64mXlrSAe+LXORfdkjI2rMOY0sBAhnsuxiwerC1
BwYWdR8DDmiTIrm4oY6euMXJBpI+MIeTj9+JkKc4vB3akGEFHlOEtAjYMPymH7xXdDtkR5VPhBZx
C/Qt97vS5zuSQLSSNNkiq1esGZYVUcmEVLMTRhWy0mB+xgsSB2GyfdWHMwza0bftYE8au9vBY5JM
BpLOIk3HD832ZkFF8vG0JbEdMgn9F98a4bO5Yw9NNuVVRXRfPhEza922AwnqaRnxvsc1Vg4EXPN5
HgUnqnBUc9eR3Hc3OD7Jp60QEsebDuhmCKLsEC1US/jERrVW3HB8MszJRvrX6Vu90DsovH1C5NAs
oKAg2oAZF9fxjUW3i6DcyeU7CJTiSatcsBU6W4Jrqx55RUjorpCBjLxCpSqjvT4GznsSpcZvchr4
sQJs3k/A/gZe35CgRlvZwW+6QwAbaec+QcFCbT5XGodfK6+TmUDFdDL90dPMdN7FQ2zuuWlLErMt
nRVOFrOj2hWIUa98UMKnUbWGu2bJ0sZeRD7224DQGDUzasXvtHSzLx+/4NH0teCDHcA0rYNmdq+Y
Q1+HjiEO0wwpcvXvpvF/1TQKpDe28S+9XOf3PCq7/ybc0P/ry/7u6FK/bIXQgtASWAh/to6u/LWo
bSifzMXP5Sz94T8cXeYvCxwZeGyl/yg7kFT8Q7xh/MLgJUy+o2FaroHZ6//QO0rnL72jIyyTfwbF
IeqfpYn9i/LHBBCGbDxx9zgzsv0UimQd4HpU7WwQnhVI9t+YiBOoJjvVQ3ANwnl8ZNSq3WN5Wsid
1Vmr8BUHPqetLYf+rukV0O+M240sPRz2KtrLsRA0TrDYVmHtPyk0f+c2ATBak6KhOqBYadLcaTl4
nlU8hh+mlszcD3GO5jm9AEl2HAzOhFisGso/mBGdIhoAOb5Xgsp/IIgW7YDPWnUe4GfUMQR1z6wm
sSa8iCtb+MjNy4TjgU2vuYcWON6nXRa+RGX5Bd80t9EZGhUMlSh+g1j8MbiS2kap65i+cYV7gesS
CZyHWLXxuIe+hZZnnury6no0Bya3mg9GNUirs5uYBOyiEh/IaAIXZo4YyAZ9TQQvYMwweqHLtFZx
WwItoZPhF0J9shpMAw1AHT/FtgujUCxhojLT1+xRuSWGNivvxBB/DmZDIKPv+2sjnLhXdQF82mnE
W6aPGd/Kz3sS7klcd1wV3PcEMOCe0+77zk5v+9TCJjWYfk5N64tbcwD9xCJgCNP1nOu9WEPM53vK
QXAFJnWC3AAmxxIp2E63vhxhgUB8auFeAGPvNDIx92lJzgl5SilJdmPaxlt/luhb1Ngk/olEd+Tj
IW36qccz8szK0q8PTWU1pNqDvz9WrQkcOyRolcQEc6IkZ4zQ+wixy5SNGpP13xZk0qc8R+9G+HJj
G1iZqwqNeQaxajNBir209ODWKqsUqDQMklR7wzDTbjsQhF7axqrPM+jkcqMXLGnWAUsW0uByuJnt
gHcX04zAe1638Gzy/sZURqNjtGidAs9wQ5kmlJ3am0HpaGTcWh+GO/Z7frgneLWrjnzCjABLbYDU
pWGdea1pQ/5dlFFGCUs43aadyrrc9VaF/wNOu31sm6RC0qzXUDatwaVmCQ7sBkGEmAO4VQJ2GCcA
6eMwXxncsRtlXDtCvaSNfQEmL9i7ESDSRPU+bOGgmrU4p+UM+sMo7mDjfPiluu/gZk66mq4j19ib
WXLOhq66igPfMxKUsgh+s56BCBBf4tNmRgwFb5kcTI+weQYv0Ewu0WRoX3ycPaI3V24vLrJFBEIc
wq1YUAUFQgCArmLrZpAy+FW/jfkWxxJGdr5G18uXjHn6bSPEoQQw6g01vAw4UFRDTUwcTqJ9KqBR
926pEaWrNReaOq+ZcFxXgAz5MDho1c0ZBJLBMsrow12SAHwZUjTslY2i17JwBLoTEDI9K5r1xJBq
k4AMeVeKEW1l78a8CEERs+rqSyoVfKb5qlpCc1QMwyx2jcKDKVWcBQ64N3cK7mWaofR3ZLcb/LTk
kYm3CesQTzdsOGadb/9mZtJsan3a6M7YXDFJIHrXB/6fpwQvmfY9R985iBkhGNUkMXQ62PFMADFp
ulWTtHaVW+8yBJw7BtefqR2QfWpNX3QDN0bI8L+fFTLoxiFDste/htZJPro5+P5jqnn5m9D6TzG7
tBbB6J8CbPTCTDAt5iuGzbLmr9JXLDG91kdgt6jByDbNYrly5zSHwTSWBCUWFk+JNndmydosac6i
GKOXIC6g+o59z4olw6nPOUkDYaEh8t1LLMsOK97IeojPZeQY9BkgOFZRn0xPRZ3rsM19nme9HrAy
2OWi/qLKqy1vKrqavXtZg6/XEeHuWIhp9QG3DYdFDpCpn+K+35o/p4n2c7LA8+WUwdsEMTYbQ+3Q
tZMt9zyXFPA1CYsgbRQKmjCJ71ocJjaYSmSz8B04pgZrMZCWBbbeYFuGVgfsqdkOlJDbLop4N+Me
HDOxiabITzJOQrDxcUxqZTauE+mCHskCjFqEE676zribM52qlePsysp9duMMgDy3b01CImHpAM8D
F5HLo9HZLW1akT9ijCw2lRGmfFabCo5kk+gdHqS+cLs10UET5HG8lZ4lYmZ7hHdwCqlSj5P7aGr0
4cT2gVidGFoADlyyY12rhniqZZ7rBvlTWLmgIX1LoYnIrukr4tMU6OqCm3AeISoG+SuHQrNOK3Rf
ZjEUnl3MMIAyq4pvemYBnwFiTNg48W0N+P5oCWbtRZDF+hklenKduZHNeAylc7xOYZZFV+QiIJ5m
JXSTO5m2s/tQ/Xb8XtvpIBwuPqEuKO+D4DcmH57WMaq6twkt3Lp3eol4q0Mhh3LUY972oSC8wXvD
Dtxg0qTryBANQIkCjiN36WIf1vERc9stnECsxU6Aydgaa1JtQowh5JRFixGZ5usKS81LSIfHTgev
8mJaVot9uQjcaaM5IdOAUn9Am4YDuBv3RKIiIcX/zPjkM0B5srVwRldGjCMiV/quDNujgXs61EGD
Qb6Cyv6MqMQj+eoAleEj0i06UKR9PZQWTDjmFlr8ZxaOOsMZ46tQgXtOOuzbuo2R21ks3QXebtNp
miPBwj0qnST8xLA3HHvLaW6zQk6HZjGIx4tVPFtM45gkf1Mswo/BT96rJb0Rm/S6SgIHPj62c+zf
rzg2gl02Cf0aB+sZkRfqncWuTrLy5KEBLrbGYmavOqKLerPG4L5Y3fM+Xbu82cligm9xw1MlbIuy
ac9zyUp7Qui5sxfzfDbK+3qx06e6Hh1IfybBUcds7zSL7X609dtkseKDY90YLuZ8DWDjOhgEUxF/
Me8jTyaPQGqpglSRYu7v9PI76QMH0iJUG5a4hZc1ZMYaCFo2MjIDZpMJ+NphjLlhOzm9jowfgGKM
k3y2pw6fB6oQ8cKotH2qWsVkJoer+h36EV0rCg3wnV3QWitTjg1Nd80caVNUdXbCZJN/18ttnfxc
3OXPJY6vlwudTN4g2js/F33/c+nPPwUAOFmKgfGnMFA/RYK11AvhUjn8u9v6X3VbKIHxIv2LFV2U
vf8O39P/MUHyb1/8912d+0sIB107si1FbfRPhIZtssWjA2M8Zij9b3CNf+zqjF8SALMhbMtGqcnW
7r8aLtZ4VFqLWp7hgP3zR/+XhmuBcfxxA9uKtk53dbAz6PINXSqdP//DTyNtxHmo/whvw6xO0Hkz
VSCssCyXSK5/0/8zHBKh+zRUprOztAEotPJbzx5i/wD8W34yNM33jPiwM6Nt7zI321GXx2+EJkAw
nq2SS7VNqt8VimkE7xVn/jAF16CtxzvHDbVt0eU/XuS2/nRzf9qNYWPfoe+Khg3bbvXbh0+tOP6s
cNtr2XZyuzMJBemJAEOdNYnVHqo5AEJOKtCk5ySblC6Rb0itSjfoXsDtu58JqewG+4rJ39Wa322N
XMdzm8bp+BlEyn8jzK07zk0sPdMa291MsM3eVC6YCCm4GMeKPHmZAnqNnBsE6sNmIpZhX4RC96qp
Y9BdKRo0tNKXgQN049I06qsMlz+U2DyeV7MflY89GSFfURVZ51ZoxrFyuoe5ES4egsa5GHaliEk2
OawkhQyTswjA4QrZQ21v/LBhjDdlcb9zpok2qpDJS4PI7ci6sD3mifxd+xkZbUkUXUUhCPzIdpr7
FFrkwZga2LTs/c1VkNjRRwjI41n6AYK9qFFXAWywD6owAh/GxtS+CeFuzxkD5JeCSuPMG87vaYKv
8Ctwo6ZQ1/RsBCLaDgpuZHUs/ITzPSrEREzN4Van6LaOVbL4NplSITQjvmdOybSMDOmv+cArXigt
v1eZjJGPohgh8FK8gPWmUrbSCuNsX3glGqZlydnssdBW3sApDrRoSfShLFj1vUnLEAxGfDI1/8lh
oeGZEYB9HKTtqm+YGbZzaLyObLz2naRwgdWULcGJcHprB+20BYZsVcshg+fWQHe0pSeZYG8yM/xC
yukzJ89L81rX+/gAywMotC+4y0V2NRSz+4n8O3gcex1ZIBqYp2mU6dEJfethINqO2nR0K/aLGpG+
pZC37JJFjpBFI0SiUCCmVd2Vnw0oLXeJgtO7oNx2ZSyvZ4P4nHiwRqwOaYcqXvKpjYSbPqa2Kytv
xBvJbctr5sa68LQ6795mMyxOmuOUd2wo7BNkO2c7DcRxGyN6W7Wk+qBEKSfbfkpKwGyM0ftVrWFH
qKfYG8wk3AFWzh91slCvqfzhJBNmTiKMDxBzVYVxcA2pMrgYs67YhRuL7BBhTIAnoBa7xhiQEfli
WnewJ9c2tunfDnJNFyGLVu01s1ZbQJUOmO7kMnfF70Yfj2R8xGtNDJ4Urbati+Gc9YRPOCjN1q6w
HpD/eYGey0OJJBR0RGhp3h9n9f/QeBjLqfbPvuPn1JNCcU7rJgG66mcM9cepR8icDRSM44DVjQwp
QQqEMSXBhCEfx7y8YqEi10MGX6fJX1KwvOFyW9fXCqgqCFFCxk/t3IMcyELKFpquk9svwWz42JMr
DP35S1Ehn2rsITKQDYUq27RtTcoN8/jkzv15npOfZ9uANawOOc+FdcANZBwHcwLpM/SGyjeQk5O3
f/2r24s45L/97hhuGSthODRxFHD5/OXEnzTKEycJxE43A4SOpKNniXGvOeObWPjIepF0a9MOqis6
aUI8wStBPgETxqehLoGda4FZ6xtzDiHcTbNPy8C0wKvjtP9iLh88hNk4Hexq2Cvm7JUxV+NadvWb
07TbAoDhjsrsKFPpEFAe/a6qsVjz2couIzkgB+QplQfBANSJ3oRHCcwNclrSAyxmBHTI+9qw1iIR
LbENCYndAzlt9IHRznTH7NLZg/uGqz1/m3rRbwcLfLcEcXNtBtiH0oAgknDQs13RDvYLhAX/YGWG
f5myqL/jf+1tPXfRS6wbJOD1w0wn0zqbObPM3UDW966wBpSacJkPQYjhYjUQuLoNWhncTziwGfXM
GHf4sQfkHklIw+7qu3owLRICwHOmFMDotzgjN3Xj10+tJHY3AN/3xELF9SoWSt+WcAMvapPkBNOR
jpy48hMrssBad400n7TWlDfu7Gj3RjNIMKtuwN3iiOKLvMPxycIk82TaRX4ht7a+OJDBj4K+cG/o
KrzyK1Hv0YkcMojrbR+SfF7ULbTNZmTe1OnIEYZhuB2HLLmGOd4xG031CDguGph06kipIXb9vpNQ
DljxslYgrfhDofl7KHxFxryfPoZtTGBlO5uAw9tmzt4yUQ7nGc/b1Vy3ZGmFzXjK4TvQrGHPYk0R
XdnmRBtV246xrfV4YuqUOeFa1H15ZZeDf8PWtry1kBAh3dWDiQkSTRqTsXxT18B+XMwel24Ii7OF
Oc8LIeotstryCPGXWILlFEkrn3LFPoBGwZ+W30wSVgornGpIM2BJ03lsmEXCoQa6wDWxnjiqmuXM
CixOL385x4xADwHpadq3s5xwTAJA19W4/QdGBgp9KfyG1NzNPwdj93NIclIoUl84OevlDHXqkHMm
jeTMQRCKFlAj5y0mlfxxXM7gWqrxmA8FZ24p4W/nfk9w1TBxohPhfdfbVXGahd69Md8VXgEShlVo
LXGzLRdDvNwREI5BSKU6PqdkuUMqjMXa3mYdH0FaXK4g4TIhXbna1KLU0Cv7YRKFebPMN30PSrz7
iUKB0Fin0BNz1winPmp9iX9ruSc7Uhw8pkfcoHkZOB9DGZtcFXymDe6pqDyBk+w5Q8l52hc+FA6f
EIjIq3+udPhjvLHEU4SI9KN+q6O8hjDf8BbZP1XDtBQQGpXEvJQUzk9xgZeHsJrONr1wqTsE5aPv
htWaGF3cDn7qOBuyXcZTlupExrnaePBN/HNgSzO8IGXI2DKLD3HXSeYwTkjT27tqnY9Fx/A0TZKz
yfjvYLQF9LUgk89Mm9Q1NDTnLp90P1vVTdhsETa5X9VcysvItPp3n3b9JWqm6FFDyH/vs7pvvEB0
9gHvlcYwnBgcBLoqYrXnDri/yIO6tjSj29eEe52p6TAWDEAXFsaNNC8ZLKVj6ZfZddv1wHLKwa4/
0P2+CNQmHpmii4wACD7JR46+c9hZPtgBvzgmAHmotRLIcYgNDTqaAyKlbGBjGInSLuZcGAfbGtV9
FhfWBbyHuY5sri62fMVDCToyQplPCq6hRQS0ZaQBQlHqHVIv9bJbp+4YN2erpH+2+sElJC0SH6M7
d7+NIi95jXFYYe3gQdsy38ZFZqEtIL4AZfnzhF5oB9CJpxgwQnS0rZJ1Re1oR7fqhz1hU+MxtpE7
LMgNHO2VFeAn1MSrPjqXGcDCAx43BNqFBlUXVOcRymsDzVM51m04yeQtNoj1AQZmGiujztqPgM39
W9m1zUbYKt24RcKsyyKpDlLKZtG6b9ost06ydPnwa3abcpWL6FarFriykRYNJC6qwCXOVF2W8Gsf
KtbatDCqFKW1UOy+hNRQmrQFue2ciYbm4ddEhBy11Wax9L8UTaKO/dR0ZxiVOPN0tDsDuCK+2J4P
tgwTfoEFee9QsG8Qw5Et7lpHV6hv/EAf00g+DhdYSoPkF/nBrk2Hpx3Z/iqPq+AOndW04+ShsPYT
8RSTtEToYPakq1K+qErv9n2Xls+DacbPfiPqL1zIuArBy+z7dn7DEfhkWKRgoko0rYOpirO0hpsY
vRBF/9itO6KuNmD054zHCpfqRvQkfqHWIVEeqb8qD47Vcu/6iXlEQWHs57aMN2wNptdI43MqZiVP
46B18Aks/ze2FbULLCceyApbyvo5HymUR6TxY6g+uy70d66qtK2lT/IqqrPohBcomE5drhV3kGDl
Q0j/Mq6jYmy/+gTZJdOjxrnKq5zTpg+M+B7ENzKweQFrs4gjPY7MOgRmCOfcuASfpvmmFXm2W1t8
V3L80qgn1dgu66PE3cLz0/C798zKIU/Fp1wf2iUZBnUj2Qrw6GhHbhJWQ/sck+OGoLsGN/k80jgZ
iLU11DSj68pdZPLvjyK1XzIqwQiDwuSeyWifcPSSSWHonf0WVpG+I0owXvmOlnSrLJ14autJWLSh
IOZWZdEc4rR5RQt5nm3xvcwvNr3u6+9tzzQTfSzXY/nQJEtOlQTFeieDesrAaUfzZ4yCb2WEzlPW
5hTVHXf7LJmfD3097BxRkWwaGuNOLMm25IKIJ/DLxDpCZg0xBfY1RxLhS4GS5W1p+xmOQwTCGvxd
p31gPDE/MJgry3UiAM5CcLnC/YFKE294eknzQp5x+2DYWmI3EOxJIhii1vIUoS75zrVd7R6PvnEx
9Hz4VsmH3wD5H8qR/VIwhxa5UJPa11FCWaTl5wwthRJs3+omJRU6T+Md0aEVp4ikxxgbzcvMzwkx
erx1gZohup+ApA+urXslCtB2QLRDQXhqJew+0b04yVsx300hWeQK/USVy/ibhch1kmQ5BoJS3Nqm
X73y+eLyYo97M2DRP6VhXr4wP0V9FaVMIUC4a+Rd8ES/zmYzPFqZa7z6IjGfLWR761Y06tAgSjpy
E4RXVupra1xrpNP4KRmVWkNREQeHto4Rc9gRoWtjF95GcWndkaY5vZmIcMCaBxl7SwXdM7YUAYdg
Bcn5gwXNfWqPL4gscKjlYJwXvlC4J100O6TRVG0UYhrkuiyQZeeXO1PDIQjyWG3B0MR7BekI1AOV
7JT604ZFy7inhhR4LwqH0XxtCP9ipnl5YIU9boO0U5uETLzHOqLy6/EC4ajuKlwttbsP0jSE6RlN
QJd8iG/8DNgTArwkPV6gl6qfFr3qGARr4tfvApBZ+QqU5bztlwsXLDXSRz15TLWpZMDbdDvcRBRk
CUkfxFvS86N0f8BE3mzmrizwjWCHXyGFY/UTFbZct6k2gFNtEp7AJBcc2Gyy+7XV8WTxoxTr1s34
ir7N2vXk58bTlEcNgt8lNy7IjX2YcEL4RtZ4TQsYDDRhts8l09kWMvZKdxLylGNMaB4ExGEdJMSd
duyNpe775xyVWO4iBGAwEyfiEMDu0UP/VGdI+2SC57UrQjRTxJGENqwdtoXTkQlfzhrIvaMvX0s3
HXhts5FtIdv5c4jTap0Nve0xJ5g30WgSsC0jAn3xo6Wn0DFtXgJfPwx1ocNW7WMKhiZnoMyy0xpA
sDjGpK0BUesliz80yTk5OZ8yLZLXPFJ1CvtH+nck77jwFqz0Qq/SnhQ5JgfsSEyWTKsxnmKSCtYk
h5WvmbXENZVpccKOH9P/lfG+ROi2F0aUIrWoq6scYPq+iaBxg90nOcKG1a3cGQlqrO94wozHlnbt
0mpY5HJ0s5soY/YRsv3WBcbXNk5OhTSP4/+j7tx240ayNf0qfTV3LJDB8+zBBiaTTKaklCypZFn2
DaF0WTyfz3z6+SJd1dtKu6Spiw3MAN2NqpatZJLBFSv+9R+6/eJwP4fS/dyhtoWm6dyLcnShI9np
I35mxkWT5fnBTjpMyXgFL8KJcBvdmobv6PbX+X9G36pfwADiV0dhnPIduLkqHAr3zM9mSksRhobu
BArTXh/5ovW1jUZcYRuzdFxG7Jx/SUOKMBsr0Ti2kPkQkcW1Qn5Ethwt0nZbZONm7C8408Lkkngl
mA4mwQMOEoTbxquBscQJ4VSxZiBtYwYgXCrLuUxwciAugBOisv1vQe3/P3KxxhnJxefl7/H4y+ei
GP71P56L+j/+dfXcxUXymgb1/e//Cclbv9nS0Zr+RjMME9T7LwMbGwMbacHu2CqcJsNyWBB/QfLm
b5rumpoDB4szlStx/D85ULr4Tdi4NwHlQ62yLDD0fwDJG5Z0rf4vcEqBlgVNjwnaGfepFEOkDYDI
QRHC1ySXasL+RCUcE8xgvKkNRlO+zGlPNpqCQf1m6IzMh+vcXC0zoZ9YLDa7JbbNG6uEcKQuZP7m
ZCfsc5kbr/Qh+FStRMzeBtJLPRpFuDwhDjJN1S8XBeSzTQ6J8BNRLV1gc0j1u0aN9/Awmw/aILJP
EYwZZCXEbhayX5oGeEhuRJ5guU40IbKvKsq4vQROIWNTc5NnnLNxAsFYM/HCU1vWyQ7Nkb1aJru2
keC/TXVq5SbZ1VWnBs/GZ+ywDhHkfmj7/bfo1AyCSoqHXnaI/dIky1XTjFhcE4x9qCUbKHSqMFho
L410ZZzoWLScJ0ZTlYlsIn+cKO1Kdqek7IxQhelYm3SsPWJh1s9QlFMf/EDfa7LHzex4eRgyJFhX
XdSh8XS/d8VDoUp2ZkFyGk7Qm1jkOMVgiXhloqM7GqglgD1qxXMiFNzpqQeX3XiVltkncI76E1S2
Ya/Krt3mSGBvVRNfokR296s0GSE8Kmm/DnibMqdHuhvQBmcqxpPISyfS7uEKpCRuK0phz9eMAhmW
rEPuvgDI4gSLykn2LEp7ZaFJfFbqJCPuxRjdrVL0vZ+o8HXCNeW3JDUBsej9295HnKDsSyAaHyat
5q051JdY/knsysgnIaRT3ANDFy8NBK3OE61eP2IzxDbmuLiifgQcdEjQGgUCBEzxbHARtYC5azDN
/FBYtn7hFk18azKj3Wp1G8Y87mrC/FhpK5j+Q7zchgxyKYMIUwx+pbhtucTnAZ8mQEYFFVW5NARL
2Eo/00+h/QyRGYkNp/z2IjaUZVfEWviy1BbX1KETQnihkVK01VgqsR9Ojbi3rS58ph5nDli1wv/M
mgDXS9DNxu7i0og3BFqGSd95KqDYXSVEDjzh1iRoDSssf4Go4j4x8ugF8Ra2hGFVMwJK4JWblcbJ
OW/bnq1qWjlVuE4+ENfiKOofYEfL88r59aPOx5pepWj6iwouwCsdmXhx47PYEfesO6rC+9PV+AKO
JDWAh5eO7uV0LJg156KqvHk0DUYjBXbAQrEd4zZOEI56bMwROdrpbEmsfsDnFi2F+Tty62za6LVC
FkZvdqXwU61xZPb1oH6blqZiIp5ohOoVa4QDSlRigKmooXmpYd/ZASK57n0+z18Fbi8Xi1aZX6Ft
5HtsR/v7OTLBxweCGlatMW65KaAqmlPPj7OSRs/spkQ4WwTe1EvYg2sRvbPJLfx87cwVzKS6gu+6
xgKX8GnkOc2Iaa5oY9lZzaVNRnJ33aH2J7DYPeNBIGooPZ4Ya/dbK0CmvLlX4DzbSXxM1nQ6RiHR
aVYTLjcrcMhtUnbKZb+YxS1u3BC5o1aRDgPaYnxR2kXnFG/rBBQXCNoPuDKrKHYqkpXDlDCiWCWS
C/fw7WS4XxAI1D69sXVYR84ZzkAQckIUyoHcL/OLY0RQwEqJo9jEFhHWJB1TapvaA68+G7dapiFl
GWkCL5C+VJcInGri0ukYEq+3RXhIU3veL1bi+DHMgZoMPCc8mJ2WM6JSVPiYeIt0tZQaqc/Mm9yP
lj5gXNt17j2hBndLiQVvNM8QDwyn3JmKs0AJMIf6wTJH96qo83kbGUbytRKxgSxkXTjVD2qAg0xO
cLqe+GaXOEDvVbYXiWJ6OWkbsKyayeNVb/1K1vRyQaQEnUG5tMi1/5xHHY6/CfmYgclIDoFVntwo
1L3rAs/GD26HQ3ZshqNH4md3b1Lnb5toDAl2q4iHHYesCeBrGbfWYGQPWqfE3zQcMxgoJdnoD45w
r1bylPaqqyb7oTSnoDQi5RLcBpb6JMqKoyCzWK+eivQ6Mosp8zV9Wo+R4nb7NCuS+4Le9QL1yR0B
cpgBUC1RKSJoEZ/Zt90rnI45r5uQO+9WlSEhHlO4nTeuWlw6fbeU5Jn0M/BKFb+kaRbdc+4KH0SN
OJO3A5wmmjDEVrqWAGtUBs9TUVifOH5gtqCuzha9abE3YCrbeLZpCq4sSGUhnk32XTHr9iFvV8vL
9XU6jK1ioLkkiQg7KC28xF1V0oKjCRlHkuzgNOsXGDpFiEe1vt/ZSprfmzZ0pIQkC1Jj67j9BvyV
xDfCHtdnBWkVE89sxX1GzSpzm2LSfcDIJdpGS4i2CfHCAf+y8bPoonTHlAf1BLtYMLpFJWu8E9ec
6TDUxlSvZHir1zerYyENX91GfNPHqoTPT/nNugWgX3XWddMMTvc1XB18r9dS7MapUS5XZx2+FWCW
Mu59hKDDNrSxDROXYUDLS1KmsmcibDDnL10RfYjwvwFtz9tk15gYD0etpV8Mg2GwG9T2cGVPmnY1
FswJXUUdcBdIk4DURSqdwt+5SLSIUVsTzhCyYysgWTe97Cyn4W72zcdwKtttwXZCQuwS7rO56u4n
iEY7lLv2Q5e64208TiBZxcJ+DeRy5WCYwkC/xHpMIZFyxdQOhxzLPrjsq8f/lgb9b30npcHl16qm
HEbgPf/5v/40vPSe++dX/+KfuC53w7d2uf/WEWXxV18q/+T/7Q//VKG/J2o/CQ0kfeTvm3TvuXgu
//Vc/vEvQnxeqdv//Zf/7NDRIkgtusbqODXiNNvfLSZtVOy2jkSSpcj4UpXWoH+pFNTf+IktHMvi
QCccl2v5S6UAaQZzBtc1VRPajNCNf9Khu5wPfmjQuSYMJsHoNf5jYIR6PkGtwfKx8NMMH1b3C+Ya
NwC2QW25D2lYZ3gcaX6OXyM+SOFDAihWr9Znu42Cwf0S0zTTvUdXBNY8IlIKEBvtNEXx08Oatpc9
GrUZEXUUjtfxpD42Qg8ySQ9dzSAlT1Wt0caFZMfi3dACfRC6NfF3sRHL03ZvNPlFZul3VmvemJYe
wEq5M0LthiBPYUXHOYp3S+36kKJ/d5T693UO/dDSt0YM+bBQ4Zoc1/z3BZO2tFgDE4c425iu7dq5
GHCsISjvpjTmxxqpW92Xt5gp+zV8PGI5EUv13iLCB0zgUaqHxkNnRft2Sj8UoUHMeuwWmMm0+xV7
Pwgc5HVH9h5riXSbmOOXvnUfGDU9MXubOUAbgR5aF0CsPgqHr0qve01dHAy6wx9W3i/O/to5BeD0
EDlmuXRXCE7OlSZL0YoOdafh5w2J7CWsfbs4sB98MJflg93iexnH2TZbbV8h/3Tkybx9ATKG6fUq
gssA30W1TDYCFfUMP/+Bg5A0yK6p9yEhA5T0OjnQYpBmT8IIUJrpZ7FgP8qsAEtfUurXx7FM9AOm
qwrtFSnE9ubbovftbrVgXxI6kexIFy5IV19hL7T7ockyjkEIItQetxGYRlsiiwovIEjERVDBjuFM
uc82Dhk2Z8xRhSjhXf2qmUk1i20C65k5f13Q4gLdr3eDmsCLSrQt794nvRFXIWcQJx2uyiZuLivO
Alf/vEb+bQH8sf7959/+qf8HyySCGSrXm1DG/y7/+HedvKE/Oz63/7rocspm92PN/Pdv+l4yXf03
qhvWzLAGTya6FMbvJRNhl1AxBcHlXFg29tK8CX+WTE3/jf9HoPvCNcJWMaD+d8kEIwEZszBGp15i
DWL9I1BDO1vsSEyB2LgyDQaHijeJfBt/WOwdvD+rSuY2iCdkoalZHEs8gXywFt6zsEXEseYv+PXU
mBhlR/oHjWhETtENM+UlqTATcsrOC2dew3BKHsdqGd95HzXpNf9fsIstL9EB/UEAB1eTkLKzS9TH
kEqfRaTjFRxIFRACQigbLPViFz+FhpPNfGN1g9dFAk0qPPXN2wXhby7A0F3BrUKIJ+/hD/dIZFrt
TEbeBqcTsb7O47bWcomshH4sW5kBrRXAYn85xHjUphrX8fYlvEaevt8CCzGPZpjUJhxkXl9BZySi
zYu8CZALwfnX7AcU+jcJ+8vbn2Ocy/zkvQaD4WMMormFlDX++FWtNez6ZamaoKzGat9Hvbuz+xrS
VOHuOJGTYGiFFeGknKfHacIeMlSheM/izgSKPzAMV3xd0cPnLjUnv52Feq9n0NeluXTgmnN7MRD2
GrQFAJlS01BmmUG+IzP1TTuMvW+jNNqFg7htFFxW45AbuTTW5y7sLtS2czyM+ujKS6ACRdQIISA7
XS/hx3WCT4dB5gMRTebOmKf5BjXIi6avmd+N+bFUCsfL25Du2f02xsW9vtqf3r5zrwUz8gnxSqgO
rC0L717DkU/whzViryU2qknDqAe1D2OD5TPhnR4Dmh6IS6CciiN3Yzeju3v7c8XZdskHg5TiokD3
BemYMvL6g/EYsWuyI9PAIeDKd/o8vbCdtd8LUQtoTB3+H/Y6bnGrM6+KhRe67NJ6azslD5QJnp+j
GefM4DJa4J0Ck83wtbGdTdVMNBGI81AJCgMfQQW04p1rP+vX5LVbALeQHDjlEVBwtqzVwTUw0I5z
xnioYhrFNK+wmZOabGCOaaj8DFZAwICkuCGj52LEq2fKokugtW4TFtbF9wJkzEToHSxYFVgUDwA9
Cl+agAP4L7mOvY2+fn37un9+1gZG6qQ4CAoSdGN2jR+fdc+xHB4Ulz0R+IY4nqrkqMjkTje6xeIQ
/AzrVDxtxHvvJ7/5dSnkk6UKmOYEbrh79rAHURCk5rZ5EEKm5eDuOhtXomNvfz+JZ59/CuEfruOo
fDkKzuvvV+Z1ocPCyIN4scvAbpvsEoDw+PaHOMbPdZ3JoQudRtgaQR/i7OmDX9t2nI55UIn8JbRD
ZmNW55ZkOegdx1NecleZ2FtGQNJSW7PLwsxfNGzjadzJYiyHmH1ncbeahFKL3lSASiN1n3cs8iyd
BH4SSoI5LVo5i7Ovatk3Yl7aiwRqgZfNQ7oZAdR2DIUAYfGfkgaqgQqGuDW1WWzpAxW/SvhjXWxq
BxpW8lYGEFj4AFSiBq3xssI+ESv/1MzAtaSxQM/nJL0rYVIjWa2NnRDd49zjrS1q7EbJtzyiiTqa
qX5X1Gt4GRKji6dO+gIeV+2x03A35DbtldklU49T1i7HaBlFjbMhUA2Ggw4gmI0uC05jfZdRh06q
zo/WyBo0sugjjCgGu7n7ELM4MGnJuG79rkxcZT/FI7RZ0T9pJW87lEJ3uyxZ96meTQLgFAgK84yz
cWbwYbmbGs+aulCWhU3G35Qcu2h2sMJqOLhDHYNQa34pW5FuI1I47scKUCpNVjbi1SJUME9ftJgv
PUY94iM8HTZR39+3IvtmZeyeWHLQ0TMkHnFvwJml7nx0QZqXAvVvixZrI1Agzwhh8rmx7nimo4fb
wehi+PNrGWRmcmSKVG5MmamrdOzA+QIBpTCKg4kqM9Xch6Yjp7MZOABloQPDUcr3wmE0trnOoym7
9t5KoBYX9fCBBiMI7fKI/QjC46E2ICPlne/OPE08gOpt26RImJA8NU3+QvCY2FjNeNX0I7BY9pID
lQVzt8A3M/ii3VSQ86Zfhzor0ClHBza1fZMRILbVGvaATDcyTwwNmH/NOq/klrlU9FeZxkctY/ai
RIwSLJ4smO+LqVWS5dGYj2OGDBySJnmjBsPyOYxeMPVnETCM2KjJ5OCuWR1mUE9pbpJssYA+MmDK
P2BFrW4JInN+70SOnWx8tHS12uNwz0QC0AX1Fd+R9vRgpUjBTg+GzuAGVXTvZxqbx2ntLhPLBjsU
gYAcNn8dJ0cnpGc0I/1Od3I36Jf86KgMxDNWuNbzapwWbrty3SFuQfYMc1orLMQbzgMakIVMZDX7
/grge3vUNP2u69vOM0eaT4NYMFK+eVhDIrsNSfSqCsI4nZgVhM0dLAb0L5saLudGENB4IDVN8fFD
SbY1Tule1SfH04VzuXQxQ7nuMOJfAhJs2ithDt0nci5JVehV6nU986rZcX1duW4DnMyzs3Fe8dfG
vtAsuIQwGZRN0uM+mc7jAV1ktE2hy+/mngyrggKmdLJg2UizV74HSzf7/oARQN+JvHmqat4ra05f
GourDpv0eCoX2HW+9NDMNs5IJShT8pzSDgZVn7OD1NaSopPtiZjGq3bDYYB+aKWfokvGiM7U9o4p
UBxCrfZIR3AAebXMt9b6yRTV4bQ7uSqrWI24A6ZmhJc4n73Abwlv0cnsCpqkbWKtht/i7oCCVnjU
0z9QKqNyFaxcHFWxQeqSj13He2wo/N6RWsu8kxuCTU5r58ee/kqWs6XkRsS5dXMqSoNJeQEie0rJ
1gN0sm4EQQH7JjfvOO9gIqXxqsBEOxJLCp9P52ibjzzc02kilg2LBZ3Pl9uOVdk3p2+IvfyLfCUI
g7uTWwGj37u+5sJOz6AW7k1SKIQNl6iQs+ngoLKWwyaWDcLTTSjMwq+09klNDe1gtulLVke535Jt
Towki/FU6RxmgORUOg/VYlJRrRUUB8Loh85Zen9WeH9T3kwcm1f+lkMGMYYUIfAQT2dWWHnwOw9r
VKqemfIezvU6X54qMSQkGjFCnrwpcdgzsKdCNuk82HktB3TAHFyJM++6mZ+ic5lZ9UO9wyYUZBQE
/Ybgi8xzyKPw3I6KwBrm18t9Rc+4qE42z9LjTYNaucTZAlgjFasLN1KusHnlT8Y1bTqVZjfiWLqZ
KhZd61J48pplVYxUH2fk0eguDYV8ujjhPDE71gGKqPqcgsqgifiFzcip4FR/c1kdpQtagCWHTkBh
Ve2blGxxuccRa4AiI2ZVmwMvkL1mB8viqkVDuUlrBkandhicPveHqc2ulTBfPqpxU+2JKSkhz9Fc
qXOGeJa1UvbFETz5BZXyQ6imOAmZbYPgiFstdxuiXNkYe16BsO2z69nGW99SLPwUR2aS8N4yFJ7J
sBnqstmBzWMUb7XJzZRwV01N9uemvUPzH2NWUbHhLX1zQ5VsrhIjJoVsKnWQMhA17PJmb4BOvsuG
yfGrChvplEHMpuqmZdpgbKTuW5wWpJxrQOujGclu1GDm9U7SwbyLaTXm5KVqqqcQHfpu5mT1VXGz
9XciXeortczIMquJGS2bKOCcQ/JAqGlPSKuTDZB4SUesJ15MlLaH560K+avZmSvHpLGKZGtQj9VF
a8b2rTZAt5rWRWyNiVFDJmeLMNsTzO3pk5u1vdG12ABJnBFMu9ERpw6UBDYmUWPGYF0wMt1lk7pe
rS2vU11S7OUxr7LJg43JJ0WO03U705zivasUzU1i5kwAS3yApyrHTNuQ3oz4poFhRQY9SjNyQCMR
o1y4Y6Nov6UrDVs/4p6pNSUjzLAmttY2LnAyfsrdglkN0o7NCLvoetQxCsgcHa4n5idbRIYhHw+N
rez5ZYYGuyxeSSBING3YtYN5mZOkE+XRBN+2jfdF4+D1PYcx42Lra21PPiaPXwe41xtFiyla+Ixt
Kwf3PKXp8y2roYVMViYotFT0dUYlVM5wUINFouMcBQsLlYfqj5Hh0TzfKhPZyC0FoIN8FzEa8GEN
flWi+FqZ2qukov5iLIwT33QJ6d5BQFhAJ3aVb7XF4rMnkfkEhAqssZRnBH0kgzcaY6bVuIsybBfS
Vj1AXMq8MuI1UNOh82ABKvsmiVWvmwveWnnyIYsi3agrZSkZkhdtrtxdDMcNu3gqTVXGy0e9NxAk
IDvAQJodyCit8GVKFVK8NSd/LPHKIesWwR8yO+5Lh9IBiKPAZvxrtLqEtRDM4K+WjftcRRNMxu+6
w2G/vVA5w2FRpmChearjSKMOuso+F1EcsBLqfQXrgmCoW/6WPNGbLs2drfOaYviNT46q3emz0+Je
lWCFg2cLSZYsUQ7MgTFNR3ccSEQvxzu4d9h/upAYsEGlaLIVyOscHRUfIYpTh6Jug8E/KgLa7EGL
j5lZPRFnRI9sqnfdOqebHrd7HL27+VLTMMxKVFLMcP64JemXrFoNMdTQ7NTRbK86VbQfByX7jCHg
TdTbQSMW9xLWH4koU5pdp9DDfDiCDqrcnu5altOVuT06fna80enr3WQ6D3qSHeulONBgzLcrTpR0
gfo1kwoG+5p7YFBhcW50UIKICZEmJrOumPxRwL7sRc53Jc7qBtl9fKu2Wv35RBYpaZN9LbMvcoMV
VueshkGR6fPoea+LfOI+G7bzWOllexUpyfRQ4M6GJwPLTUjwKonQsWEEvF0c6lrY0edkTTxjS6Pj
x2u5skgXnFbGkWxPs+tXviw9pljHmgwCeONVW+3zSAtCFXt5zU1fSiV+idjt25Z9qCvNG/JwMKGR
O3o/cwiT7U4j12rEMrkJDZNTHj0Bh2sYEPAlfYULZubKnlkiXsXaiFPLOgMQ2ZaJ32/UPlUFW884
DdOHqOaVIi6Jh132OFgOS3i5gExuXBzRYYf32X0zjMm2UEl1jlTyd5h07HJO9P5pl2t7vGQTbHC2
rrE4XsTA6hARiuPlZPNs5lhfiV+34z/aZJa5QfwCHGRNDBAGuDkKq8klP/w5nzp+S1u8qEgejkU4
Muth1zutfs6bfo+Z8SWH1RdACL5Vbt07cxJYrrgrcZvYY8KkemmtfJNAlWmsBFBE7nhtNjyRJZN7
YMT6HEge33b0UBSFqL5rXXQ0Ru/W21iDhCXU+GZJKGOAkRnO4ILAbrO/VIY1oeLWV4tYV9/ApWLD
/Id+FVEY7sriQ96OxQaXPpjayO48NwaVYrWzxSFVJZnXuDvtve7Mexob4cPbB/8TXe4cXgBjFMwW
mbKoJ++ZH6CyMR3tMUoX3PlLDp2ZDmBr9v1TA5EOSXsBcVXRSKwaeMr9mpOLLcisn7L60Ww+OU3N
UIppxwQ/G/Pq5DjYquJbtv2ATcStKuZ1qxNcvYcoNHiM6sptPY23VqHAkXJ6GuA++ngCMk9nJFsT
fyR9Eb+gLh+3Zm/dadlaepPSaweB18OlVc/FYVYQ9ZqjbEptzkC9Tg1psT3kfG3Seymq9v0QNiBe
v8chJUVudFV2jYvhouwCY+QpFmdez4yc8CLTtPmfQ+RMBEi/FQxaQQX0M0QqzRN8PXhTgrDjTIli
LrzsBhAJ0gwOVpGZj8mp8ILjY2fC66ZNNI1vP9ZfgGLS+8CGZakzSznH8nTHacwE09UgtTvMZcQa
77uWPim2GmOTKWkrQ+/U7Zgn+jtwlaSFnuNVHN9dx8DqzoCleQYk8WZrQ5K5ONFil70hvsr2oONp
98lk4b7GCO/LoKbMVNW1QlKU3lZjMWIqJQJoR9rT27dBInA/LW6VfDld2iYxI3+NnQ1iwH68mkhV
kEVAAgZGzyttI+b0W9NAUUV1ffsjf8bsEawKRMOMJ1SNxvv1R+pljxUboBS+QLrD1HRx/Cbin7S8
epi7Fup9rEzoO9p8n0RjsX/7038BFjIn4AJc/AblKOv1pxMxV+mwP/uAnCGSNwB0tnCzundW+C9u
KyizwAPRAff8aUzFbiqwTTSxgNASYzusPcevdP5COMtN5xK8QMLfO5+o/eqLkf/KwsWjFXT/7Is1
ZRvRlhR9ECVph2sqgHnSG+0FJQEoh8CTmO1zU6ugZ3KKX8z5EowzrP85gj2fj8kfa/749r0+8wSR
eLmcIzLCZ7EDAp8trlrya1y15h3L0i9VbS7fvje/WUqPl8/NO2mvcsp4tpiJ2bVtA9QfK0AO5q+f
7SCQA4Zl1gVOYt+0JNB6pWKWPrpiAn/omjfaaD0befqxVtG9qDb6FEvZjMl0DS35j545Nj7IyXr9
9l2QU9mfLsuFoMdS59WG4P36spDq1UsEHzIo3BGcJqd5thpKzaCWbJkIMIeqOSDt7z5hZiRjDnlE
SgzRNVGqJ62dAabo4zZ5LcQmqcqFJkO/mYgjRwuRfrW6vdmrs7catCC9faF3+p2gxxki2FhFNKRQ
tiM/tkFq7BX/oL5ktiSnjhn03o1Qc8yn8VnZYh/N2VqF+5WH5DapoVJwa4Cy5NjutLHhOttevH1v
xM/3Rk6SocjrluvCuDm7Ny72xT0HwzpAhD5vFlyytsSejJt8KsDFbALo0Z0lQAdYt/TjqJ6+JtAq
oT4NxiGO5HqE7HSwXrLLWh2IclaZEo2yb16lJqgrohXr6ALVhQMSGhXv1rNzBgjL3DYdVchwZ+xN
TVV+xx8aBLAM6nxLs0lT2m1S1LZQWpFulHb7NGAQviH54UBMcQvPB1mokie7dkKF/Pat/HnxEz9J
oqwQTO5RqJ7dySJd9XrEbgGPDsSJEzdGsBKScrTe+aBztYv8vjZzVxctPa4/9nmlYQoSNpiPo4Iq
QQVT+h5tydZdY/flSw5BxCNhgMUr0WWyIHCwylouZnAXTPUJl57q+Cg4wicT8ya74LyXcQTk/mY+
dmZAJxzewbcPrc5sXs+B4RBhKv7bd+tXD40BHgNQ01ZNmFxno6mSk6vAaboO4g7bTJHjytaWZBsW
HV0nLnyNr0/DH/K8tGTAT0MTvyyF807F+rlA2tAimCfqUMl+3iZwvyeZV9PqQDWqbzBomi23gQ/L
W1xDlvc+Tfw8wbKRqtguc19dU+1ztxIdjzZHtQS2cDRUu6wmtkCOJdcOO1xXi0wAXBrqtWfIAc8J
3v1aPVVzlWGtSXNvqNGxdrTlOjeadT9y8CZjllReokfxkAm78TrVpw9vP6af91Gu2JSDYtuiop8T
CVpztosOV6GAGNgkqLq69xR0GP6gcn4Cyla9Uc3fGVr+ouHn01gRKsIMyvb5m5TTOkxVI6ogTAE2
8dc0OIjP4pBWxryPix48Fa9VTrTDRQc8deXqAJUSMwRvV3wkhKqXlEAIIYMir8fSCiBU1y6BVrQd
tvt+jVie7pJjt272T/gqgKZLTKREuU5yp4vFpi2rWWKC18rxiyGG5C7jRLUtKj3eI0VEF511MQmU
+se8EStUQIZ6NU74m5Whwy62ZTMfTm5gygklOiT8OMBJTrONKjfUDTO3r/IkbCU9HzcT0ayFX3Rl
nrd13U27dWUZvv0of1k2LN2AwMNMWIWz8bpM1s6axK1B2YiI77vNCsaYCDnXnTANjEPAMdkDOeQm
rjgCm4NmmzzocsISccItBK/+drq0FzCiU60vxMRodEmw+zQ6smH6Xnw+jTYNQgHh/BTohxh338Qp
D+Htb/JzA+tQX2leYZyoAoL06y/SRgYjWEj1AXKHBSHuVHqFLV8JIx6votYlsMRZi88GDGFPJ+Xi
nT3z3HiH+usIwzZ1OC/wX3Bve/35LtI/ohHKKlBzpmiVaOdbLQPvd3KQcL1xjUc8p/AQ0uPsYsDJ
zMsMdshZAcdO5D8R/9x4g2oXXgS9PWDvYqIkfXORUX9RteEyW6onYl2S7Wn+ALShEdfK8Dr14zBu
n8xaTgNwOWa25DqBWkiMj8xKBml1ctfCaX1UczJGVPfQjgT2mtZq4iVFVcFp9IX/MvTIFfWb0aV5
UDoQbDKbcePbD+kXnQUZ1Ci8pC8Tu7Il++UfduWRWV2ZYugSNAwpTgOCwpAjYdw7tnXCa7j2ORYL
2XoxYwS0WbG12IbJI8OD+uI0hllVEnrrFgMDduu7XNa3xnpAFkYuSl9/LpnoexEa2I2tFkvw9tX/
XPdwGaWj4L0n+uqnM9LQK+hbAF4CxTECLWS+KEtFtgBHntCoPCzeqXo/Nc/EMFEHdA5l0BzY2M9W
VUzqJI41nASBtomIqnsbzQHb8WkW050e78BQaKS+wOSANDLIMeDYS1czwir8tmkz34TMIiV77xWP
843ydHEmfS3vm2QNyZ//8DCthQAIBSVNkMTwCPqWa8DxhCkA47Jc3pW3b/8vPk6+4jCVdI3DxE/b
TlabHYNIMllNuWoh9C4KDZXRsXY4O753InbOu2CbGkdFgdEJkQ0DxbO1Grcj08Y2wSs4js2Di+6R
Wtja3my4O0ZNSFsmIlxwsUUtRSSbuU/w1d5rmlJCyjbsT5NRYFk8Dnu0PR8QL8x+Y2ESakwYXk28
ox7oSndFYCVuCtiT4AZQJuiwsYsKRxx7k7Uvd13CL0/GFhtgRbkjZFp63pTajhSHhtxMUXjY1dd7
zjBGvFWqZPKI5yA2SY/HizmcdiCSjd9GjREUItIv4XKQFjFkH7pFNbYc2/TAFsimDK1NDrjRpig5
s+hDyTl5t2LeLK0iHG+I+UEslCM08XmjTc1wt9CokR8Zpp5N/Md1WI3EVdPRgQi2wOoJc2qvzApC
ok3qwaYiCN6ziqbclbWRXA5pO04wLcoMlCzUUZA0zt5NuAalDtG1KL/XvUGWdSKwDRq6K8dSVuCf
VfsyTK4e4MNuvvOi6eeNOhxxmjBsPDkQQ8OT2uAf17IbNa2r5OzyMCgcab7F9DqHNVJ2KpNteqlU
FOqHumnKIKwnA2nVYvioh3iAVWZ4TotLNcwe+nq7xcM3yeOvuUixwYJ6uGFnwByWBYSPPC48DgXS
M8q23DFEgHAv77ajr8rDUk3GwZW/Pq36D30sHvChRbA2WzBJzAEjgrYo9yLtnHcAp3OYAtofLxRv
MH0MhUY9W+pUTs3Um8zZxe0atPGyASJ65+09L56nj7BhGJow4zVTPbvBnMJMgIDIgTCQ1l6FXcV2
bEeOGfUKGYREBO6N8t6p6Lwp4EOpnfivgrDLsnFWoSKFlCArxvutqWzi6SO33dar2jB2y+C664z0
FN0k3Bbzvq3RZ907sJZ23tvbqFJokAUNPHgqiMvrVbU0RT6mRWXvBqtWmMunHU9bx2orlR8Ymu5F
jQtdQLV7AHbIgtywxo9vV80TA+5HMPF0DUDkhEqRDeNKgviPK5vXprUFCVQ77BYVb1yabl8YestB
XO3IFRsTd5sUaveMzC284UYaN9UM67TshfO7ktmrF2P3sO0mI90Nxeo8qR2pw2XT0d3F9a7I4vZ+
wmDhwmxtvk4f24emMSzp79Y84gQTIVwkvSOY3P4WpViNEZWSv9N8mYLv8Oo70sDiNI8KSAe4Zm9+
/R0XfGmMhi10N/BWHSa9nXdqHWlbd6zGy9OXcIc4v1WnyD50MT9g8Bhu3VVdPSyfiCqiBfN0sIit
HofR3sUCEAO9FPEYfK4LtNcvmPV1e2W0oJA540rgr36H4Yfu1y3pEuuKl2ne4JFumCtGurONlbzZ
+YqZ4raxWo2PRnaF4VPJGXup7IparF4b4tpax/Mua5uObI/V2dXWKJUp0f2i4BthhVN+u6z149qm
OkVouDQJyN6uGKESnhSP11iK9E9KVf7x9pL5P9SdWW/kRrat/0rjPh8aHIPkw3khmZMyNc96IVRS
ifMcHH/9/Viu7uNS2S40cHBxGzC6YWvIVJKM2LH3Wt/6jA12cKxoNOHRVNq0guEX//hx1q4bJgvn
pm2UtfROeqX1gbickmi8BdlIIkhvkqctNdNLxBz6Oh0vP7VqZ585OQjJhO5VxnwZ0hiPWVoO8RGA
uPrazOQeq4u7HPkt4jTAjmEibBKtTnKYx4cudpk6vC3ABI6c8lRflUj2LNmZ20bHhYupp/UVUT30
IAu3w6TcFTSkg2xpf1XZfLbv8AlonLl5Yg1SakzapT9+Aik5sIJ2Cvatgc0bXK/xok8gadm0uAU6
7KxAYRy5kyN0AkMpFIQ4TYzTWTr72UzqII3DlQZVFfdJtMo7Eh67bOksrPVWqmz1sebGFJEStIjj
ArXlHpllRSxx4qR+rzraZm773TTHYEZ083YcjCeywGFyuvZtGCfvnHXwpDOfOhZSsffE1ZEIUSbO
laSe3MQ5ODJ3yDmOl3EdFLhmd4LewM5k5LdlMMmNPvCS0CCMX/RwfqrS1rOkho3OXde+n4rCeSKg
bFrvHQJ8PnAbOFfrswITN/VHLRp+0ca1f9q5VnOVgUKNTq4OdOpTgVz09KrUXrLCIqcKSPh2nxCW
xceanBkf5tm0BYOUXsRCxkcdlrDHdLlhdMWHPg0NFTzBZT7TxMfBDU9jJM5DQFBbDZXPJM5mrLsw
oHmuhxTJK9/r19SEgeJyX7Yp2wextcqWsv2j6prlWq8Q85HWOHzVqqrb9wbPQM2h8JR2Kgy2yIi2
MZL4+3HI2xsG/mFAmu5wXcP6IhUFnUZmEoRuiKXZRApHG8RcLoA5cS3xx+zdbGblWCBkF6K0Ty3u
ivNRZVnu6izbduvbYWKar4X4cG/N3FvdwDajQP4rfEu3020Fpvu1geFzoauVCiKqVF+I6cyRyGiM
s+O4UrZuW9B2HiJl2/BB4hXTxCamF0QFygOx/KIq+JO7hZuEXsy3VCp2yR+fs06IPCsiVLFOiygn
tfj82tpic6pMQiMsHoi/X9p+fj2miijSKbE4qFufT+kiK1EGL5W1zQsij4aapwHZHJCTNHH28WI1
v3gatJ8LS45tFolbGgdehnnupxLEQd7W6FFkbtExGZtkRhmqYZ85JQWDqHJR4+O0RjJGndhCbmwJ
qWW5EAQ6bCrYF75N7KRvjnboT5ycCV1lo1IHLrUKbBpRgiZ3dcOfkoiqvSk6lmurXDd3K2zZeZL8
yiqr13ldRqLSCleEMb9dy1/RL2IFFahCUxKWoVwa2l3lsNktwjnPhzjbMmX4aCq3Ilze+gBy+6rH
vHdFJZt+Jmr8SF9L3xAqQmOlau+6hXudMI709621zii1WieKn1CUGRsChZdriMQGGhGeJhfM7S7m
FjxWJJQcR2lK+Lvrbkrslh/V1CVgSNhqi37x1PVZnXXWj7bo5y/lwvqWDdznS8MtnrUtGPGRmh3g
cB10Wd08JEmmbPncjE3e8oZq264COi4gfxUwnsvcTN+/mnO/J3MPptpWOM0TstEHvQ41YEJa4M3r
rpvGencwSenkYWG5SLSRekBOCx/i1B1iqTrnWsMAv4decHBl5OzhnvbnZcy3qBEVRBm6ZHlViL/R
fIPMiLr2ItFQEZETWbEv8GcqlpZeAAojYWzQuk0PQGqHR8kl+wLAtJvD5s8XcS9m+61Ar+tnuakf
eDqHE54aY8MKxl1szaR3NDklS0IZ/e1xdwUfH0pTXkFhF6hdKp0Yeocfu4bk0M7l+PZ0fTegX/1e
cf0eF/5Hg/oPfs27quCfb6b1f33PN2P6//zbf5KlEyfW6kL/a9v78Wv7mr/+0bv5/Ue+m91toFOM
ZZDHO5TftsYK993sbv6G0xx7DKchBg3fItv/6dzUf8MGxkzAXBUA5JVQfnw3uzu/UcertM/QvZAx
xrr775jdOd2ywP6hcl4NegJbMR0cymPD+NyQc3vk7FmG4BvM3AZbHjiVvgLd7EMK7U9lmrc+Ai39
KGCJ7NXCkAeauFnuO4Vbw7lT5KM5mmrslXARn0QN78xXOcocCNkhzc51MsdGhUcnI7IG51KNpcCC
JcSYnFqrqd7MxeqPHflg7Vmvir71e8wywzYyQwI9TTCShJQpLoFaXVKnaEtpYQdxkUfvNFOtArye
IwjIMdJ2ROxuxI03DxhQjiM1/z2B0Sm9ai2eThaxfMela9oekr8qHptl1B9DegJ3HbKGS7j4ANCH
pVM8UarR2cACjRI0izuUlkRtnum0xC+6cixpbCkqROjBLM3hjJQ5QFoj5CwYKnOs36rlSCxPhnMi
p24gbM7LIhr63mipdhkQeT+Fl7FNcvfGipe+9Mm+YCHrgFWPl2IobLK+hCkJxguB/FFrYGwEAawh
SAHW3qqoVov6oxmn6qT3StJt1GRuT9WcqhZ5FaDmfWFYVkyLKZ1vx4XzCbhbPYm3UhJmBbpR0lwa
AW6QkTDW2VsGUbIGAdTnVTB3GS9gQnZ9UpMuvcyU0N1zZUykUumwR602X4QVKXj6uAYrJ27aTpuu
U6t73TCgaSzpGkMlonVG0k5q5EMvmh5UkhAZkqjiTZ0csDS96C1CRvqJj8aJaMh7YyqQblud/tig
Vn90IssE7k70sOM7KkHgvmnbzTEtelIl4qIhBstpmJPXEkzawZxkvA4wowktL68QMHQfik3fG8YN
8cDV3oqa5LorTFlR4gAA1NRYtNyQ+mz7EIvGC8D2MZwzdFURUK6vZhmT80sNSFpBSKOVjyBc3IM5
KOkcrNqkMOhBl/B9mnhpbGhehFqpRoZK2iW6SxQmdq0RhLq1nydlCclpgqcZ9IIWf9APvf3ckIfS
eqohurPOWSbmSDWWMa9xmCx5ak2+ndAQLSKytEr2a7U28KXVGXAF3Wn6bUjsJ5QXowyvi2FCKlDP
2bjNJv4wb4xd8szncq7JjtVle2pykb33iRmpB1KzVJ/ssL4NRJ5WEBFGM3ZgBxgStaib0I200Zyi
18wxqdCRMdv0oV7ci9zuQXP17WiTdi1c5OU6qYJwMfZgMEZ4Pp2aPpT6qO7Mcl42NifpU+R2+XHG
KrZtJj3E55WN9ng+u6XUMBck1UM7QjAeOohsFnuuz3ZUp2emW5S3aP03Mu/mYZeGWrcc4NMJr8lS
61ztHTTVVMLqyAuQuuChhkjqLwa55id9WCcIyJeL/owwMOLg4ACSjNvM84CgwpgnkW2HXoXlRcsj
BcZdpBkTbaWJb0ZCDL9k+djAOoYuEx9G0LPLZZLl2uxrPDL91rXQWQejE02kpBMcYDgHATB7uTSi
fkbJoCjpg5zpS3qNIa1+20/mjPbVivWeIFBy4wwHiSz5lGtMC2xpsH6v1VSj73NS2G2I3rFLeypP
kl9bPZBYy+Kv9f7Lqt1Z7euehIRiqq86fZA7ra6z7f/bffuHAuA/CDy5nlKRjpK9a657MB4NOh1/
vdUHr+/t6zfCzcVrBLdh/zp8zZN/gHT4x1/Cb/70Jb6XBsZvdFigqDJgYP3nbfyrNFg5OGzKFjhK
Bop/JFXqcHBWKRV4S5W3jU7zX6UBX8I0Tr1CQ+Dbr3T+ndLgp5PL2i4EhEOnl4IGZeBnfmoTkiAd
rcaucLynJj1377QtB1gmb2TlhT59CvA2andj3LMtEiu4pPddk2yT4jGcZJCsrGSa12pWvLhQw7KY
KT0eNGVrO+1ugH0XdsUhduCjmwHEwhSz0mM/vujwsZWZgYeKnaUmh0OfCa1sabKc1c5HO/n5niie
Qb+I3klm8UrrNINAKcfzqu39UHxAg6f5RNYrTjsNHnoqCzTd2gUjlWAeFT+PZ/KwWehgSPoTp2dL
2akibbepJiO/6vOLKQaqTuFcjl+w0d53Ur0umiWm54e83DLmetPZnMnKN5lfCmcgfwBXpacR6WFE
o5dThBCpONr6lZamt1G+HAyj3aqzvlfM4oz81Zxt4oRolGN2XV/ib2HVANTH2GwjUvUqp8sz1Wnq
KUb1lcWg9MvGfFZTZcdl2mDR2VQE9KQMd8wu287m7LeSyki0IAW7cyORVxIlmhYab5ktrqaK90p/
1kKIoD9MyXy/Upv1ghhNEwVFCvYUJZRdeGLgtzJyuYqws3qN2+GedJKLZmVcT7/o2mC6/FR2rs+d
yrCe6RojNvFZvp0NajclleKC4iruW4mBxDS7KziI+3gUG5glBMXY4kxm5S6vL61i2uE8PMrC6YNZ
NUgB6QZSIjgiiSTfZwq5YP24bTFTguYGST5U22mybpH34MJJu6AxkmNTHtXe3JFyc9RmsEzOho3S
q5Pl2srjPXLnTau5F5JLWM/Jh9laN1b2DKYVxy/xCm2xjdJsS1SIDw4Sip4RMINDQGYHBE4HgAj3
TBauWqvdDoZ5NTNmF2Z0Ps00NqdiR6rFXUomIrfkbnHPTO1FWOCSlv6sEcuFWo04Oaqo8Wx7ionj
JBB2Lrf1ADaoPLebfIcY3LMK50sh532eY9kaKVN6Be5P1i+nBV2w44Svc21tKzxMBb/Qg+mzenDm
M5aLR1DY5Evf6W173obmnojPu3J6WVJrOtb6XNGk1ShNQsoZmBlPCgffuNZ2IuUWGYW51YS7b4z2
XUWW6g3FfBnNfUjQZwWRXxr9sRkbrxbLL9KMPotTvq3OsFIMjk6cTzgN/dgdWiqijNqxDDeiyr5G
Sv/IoWIXttpL08b+MrRnmt3ekJpwsfTDJQfrQwq0I0kIgM26Zisb+5RZDB7TrgbA7l7iAWDtkjed
48LultlVGg809stf3N0oxj/d3cwQbe5vFnD+hLXf9OP77mrciZSb4aZhGOilunEWYpRZCFUjJmHN
ToPRn8cOUIqBWGSxB+FaeI3Wv+r2dmIc3MSQGG1lsTx0G8vawOCejfRNpSd7u6dPqIsc0wb683DY
gbC+StL+tla0+8WIArrk75E13RYMydFyy4BcJumFlDNeK2S1mRzKkGTQP9Q+7ldLvXIykP1wM9YS
Oet4Ew/D1UhMei1CkLOiPI8HGgxCuBS8YLCNbLijg3Q55CaUYqvGt5PGG8uo70apfGC153CYiA+h
5LedSJ+wV+zaocuxDn/UOZFDE7K2kncQNYcWkT80FV/G1gMZ5jsarPBN2i8jabuk8WHVHjewgiJ1
9NUBYRVc/rLWvTFBbhVO5LnJc+gMV51k96hVnVk4WcMaLO+47x/hlt03CGdFaT4tWXMfJdNlr5dL
MMDiXRS5N1LwkLAesMvcgsfcq+QtkZL+Fqr1bU4Wa68bgdB53lMrEKlzhSP3UNXj1WgiCMud20Ij
uqAvBKodd+NqjNEiC7yjuuXSn1QN/BZDbjElj4iq9wOhIdIGKTuTc3yS4bLpZmsr3dzPbZDPeJyX
25XXRpYzzsyjW2cHCPGPLR/hDuFV4lMOb5uy2DnZsolHLDytIT+yGF6tFFe9ahL4kD43xSKJYUwZ
Euu56i+G2eA1tuVjWtjXJJfheoOHVrbj6Ln1cAUj963JzQEQzkfiFIdQcR9NIJqhUr0DF9vW/VKu
7LATYlF+YqiuZJPtOZls06q+LUZxk0Xp0dTnMVhCyvTFmn0FxFmoyACnEz3pMQgjAgXz7CnVxz3k
yn2x4ikwRmKmlsW9EZdPUWedptZ4yIlCR5b0ZC3N3VT0mFzT/tCE9seiG8ewj8Vm7HqyVbQIJLaw
vR7IUNBGTo5RdDllxPXRE7vEqNnu7FZ9NYlu3qBHu6mM+RVrGkqoXj6pdAk8rRQVkrb5qjUlyY3O
2WBz/jfUZKNkh0y3HujjAH3FYqPH6Z3WCRTD/VGdJgT6i4tzMA9wS+2VcQomqLKFiILMCknpGD2n
xX5oujeiV86j7HnBmF2RruGG8UU3JNcGiQozd7uZ1h9LoqOtnv1pcm+n2XjUG8SUcjm0WnMTKl+G
zPlgQvkyobqL9Gmr9e5bapI+XNgDYY3WTeh+ReGGjnBjKhetc1FrF5ZxWfY36ZBctWQ190btCeNm
mHU06c49Tv2VD+GvKYClQCVUT4Gefs2SGWycA//zyXbvRtoHyWQifvhwk5j5xHMf3dpRsRNO6znm
tYKbMOrGm6rXuV2U81S9mQiIwjt7UsPcs2cU4exRiTAPjN1x8G6yJIPSirxFXGrjGycpv7CNJ9kD
Mph5rjP9yXGviok4mfxajegksFY+NjhO/T6xgij5MuIRLvqPKa04CLtfJsPItxwevyi12JPwt88S
7X0YU6LT3bjwssoNZsaNOETJICTvVLqVc0hjOrjEJaD6jIoHhGbRZtJn811pdc1zFAR7hu1sCUg8
Wm15F0eNHSypdudmynM1z49Vttzh/LxaQmkzNWhXIgzBfpHMkEDmTrmxBbozgtXe8NrvnMXeSyRX
Ao69rzqUU1E83SomYdMtLGBmNpw+x1eJSq3X8IKMoeb3pF4twv5SDMOZO8Zfnbm/c8u69ptU36fp
HAUVPFsShIpsE9ok+a2N/HSQdzBnKe0KgA3mqaqNj0zN/VTbRVKcmcxQtKo9z0a4DJp5HjfWxTzL
nQPhDzAK06jWnNdukaUEY+OCLrZIrOxMV27yjIPuf8VLqHP+p0yrLfcq01NYJwSbJmrx1K6D/aKK
Icx24Y0Ra2d8NmTkuPOaeg1WsLIJs7fLvvdUorDRI4vb/61D6/+HZEB6uWuN+9dny9Mr0uDX9/Hr
1/qHXvLvP/f9wGj+pum4wV0kd9DsrLUx/b2XrJNDzMSawRYYGzQ8fOWfvWSNXjIeBJx90LlhAfI2
/qeXLDSOkpRY6zl0PUv+EyH7Q6//z/M2PsVuInBxSeNZTQhiFbxon0UYVjWiQzVKclDH4swtIBWM
ALXxdrxIgkU8tLtBJih0UwbboROtOZTqA7mq6qnqhidjTJ+xd18I4sR3E7yLvWzkVQq93NeFlgQV
Dc+gqdFLtVb+BLQiB3KUPY1WRSdpPjNcATYemY0/1grkgfQXmvcfB4ff/jgHARGCAAcAIy7BH0u6
VKUiWObKDKYiDTRaPFn4Ubb1FUAo/w/X/fvn+o+yL66qpJTdf/+fz69kciWtdV6o8Y/J0PDHV4qU
VrMHBBJBp+Etj0pqc4UzLo9yHQV//1LGOl79Y/ef3FGUDvQM6Avzf7r142sBKB+hnZDIWorhzQ4b
m5DX8lHOZOa0rnYIOW36uUClRXJTHdhD3/loyAcPR0u8C7VR7pe+3pmJ/cx33ZVlca5YKFssq32K
lPFYCZupYWDSPQssUX1pp2L2a4N0i6lsTrMZAYsmCXobGioIdWzgBql8vhyyaWMCI8LpP7+KYXlu
muTFaDik5pn6K1LrT0dR/nhsPqrFKAVn4LcW0B/1UaFlx8NsKG5QOQwlAUJo+Ez8OpbMY4kyq57q
QkDhBmAETXBKwsQzh+I9h2/+9xdj7TV9uhichhGscSw2dQbUn1Q3czxNURERN5NLdkGtaSDMK/aT
w8EmmLT8Le+zo8lckqTjY9vDKbTmaypze0ebJPcK7ARG396u+XGT1exA2L8uafRSzEh1cuvmF2/2
p7kRZ3YWIZOJko2k7yenDrJTJZNTvFHVBY0TEUW2Ot6Zg3rbKOKcqIu7rq8OqSv2y7ROM9UHJZ5a
5KGGF5Nf0i5Eu2qLZ5Ms5C95jPNC3I11a/5CX/DT1aW34FoO2GgYqMzR7E8CA/r/tkgSG+Fbkt/W
TtpsAbuPHjOUy3EdPYWcL9iM8SsIACxZu7wMzXILP3jTc8L++w/tkwRy7XP88b18PhaqAuBnbudh
EJYxLR4AQ65GExv6n6Pvul++3GeL47fXQ/hHU5ArZdPJ+/Hpto0wcxbCpQNDMmghiJqAIkmjqRi5
K8xbLcrRnc5FhXxcif2msJMrEc8Hxnkv9mzAYkNOA8mroMvmlk9rGyTq3G2RdncIC7Ij0c051FJ3
IkY1uXaZ1QQ0y2lbLSeA++Y+FRh1aq1s/Hag0iXeAYtOf2RWCme/BKRkms0pb5RoG8KJ92paTnus
UPOmsqiarQL2kI59doMV8ervL8SPS+y3hhPbAWE+7FX0n36SZRpq3lWSC0FSzGYxo21aX0wpGIHi
F62Az+YuLgGNgG9QT0SoaMA/bRur9k9n6hJvjNQ+JkP2tQSuxfWuO1C4Rg+HKX5Mp/EW89YBBsWN
MevPoUOfdOjClzZ0/NLq3iObg6ma7dtcv5OyPZ+qfPf3H8hnvdtP75P64Y+LoBq6dqTXDbXlIk6z
Nm67jL6hmhZPIRs0ZophoEk7JLRV4w7CSHne4p8lVbF5ipaCQea4KBfC7JTNNDUGR+tkOG+7Fnm6
PmZ78rbCXdQI8wyedfbQj2bl1428gPg3eGbdd4zzBqi8Oti80uWFhTqQVANxHMaZqXsQ1yQn1wT2
li57giOqx0mmr2FMM2Cqx/lltvoHfEYiWKgcPop6yEkeiVpad0105LC3bLP43/RRrx+ZZhNwSGml
8b/WpyZPJl3KDaN0g8gKSVHPWATxSRk2+nD99/kMY5M/L62+6ZT/uE+vr0XNsbruUGMyr//x8kyp
2vSdwclm0BfjrO+XxyWpjWPdztED9A3TA3NOo2M+76KPyCbFrTK62sPP2XqjrFo0L5rgoljtlebO
v3hz62t/em9Im3lqXfCr1LmfbvE8HbTCIvU9SIscxdzWtpTj0tz//Q26yiQ+vwr4UxYxm9dA+/Dp
E4D6GPWIfiJIarHnTGu6igVAKlzd/Em8jq/7mzGq69e8se7Tcb62OsQ7iKR824Q51Czwkpo24aTW
TVek6MSnHDOE14a2+Yv67c/eqXAQl623Ba6aTzuOTI0wn6wEbq+oWFUSgrDSglEgHYaIjB1PxPZW
RY7g6PIX+8sqof/hSuDZ1pH4CVSXKiPCT1cCmZ9cIEWFAZmED+Fos8QQk4GCyyh1ugA9Ou/mFy+p
/dlrkpWALAGhOwvcp+viFhhJsGO4gduEeEwUzaMbMJ3VKFsCPaG0L/q3OBvum9h8BVP0qi901Ohu
SNIv/FipqgtnKj9S2zholY2+4e7v7xvzpzoFvxn1HQUu9lGGauv7/4NHaVIajVRNiRaS0QFpLrvQ
CrchkDbiZWNB6N+SH01uonHSyQ+Nz/pFvHQV+nEpwucWEir9M/MGzcNHGsd4F9RtNDCqVbLkahTZ
riZ/04OHRzutehPstxu7j7aoJ91DxZeX2hzPUug0Hs2XYJ7gQmVW93Uu1Lt+Np+1LgpIptkObbY1
oxBkk8Ew6O8/AftzWWljWuPYgrEYqxY2pk9VQJkgjne02EYNat/phXVNrsveLgfFq+uJ9qMr201n
xef1FMEtC/kvFWSldoZeKqPuRrbjDVoANgNFd2jBmv6kt2zwtuo5hfpkk/AcFC5BV5rRnqJO0n+c
WbwbvMztKDTPLrKTHZkjA8Hwlejv0sMEcjsY7jOMtHMtMoIsJ+06ZTdIZ6g5KvoMJuvvQH1rxHjN
RdsnwcAb1dTiMs+n05Smpywn/WxqrNdB4j02DOZh5biTUpxXSrZrOIMgbabjQ6Nv2Zol0KYJg0m1
QnaQE5IKWkzBrGXTNgZaYEzwJvjSmW7Vb2MbXVb5k724m0R+/cWl+Px8OvCe17kXR7s1ofDTytAL
6JbwsanHdB9nqmXvwaPjnNOq75Xm/7YQ7z9oVK/RP6Ge/usGyvnrezy//uOqfX3/2sU/9FB+/9Hf
eyiO/hstEo69GpK3b1P3f/VQzN+Yda/lMtMmhvGsZP/MnhG/fVPurfgSFS7+eiT/3kLRtd/YkUgU
YNFlE6T18u+0UNYx/qd7BBwgvA2sF3ix/iw3RCPud8EosJ3ynlR7tY3inda18SUSE7olltTAV9Hz
9mGO5qfEmEftzClreXDGhOBsU08u24aAa044tDfZIt27BcIhWIgq0sUppCEXP4CYpkOnKJXzwAGS
cRIQk2BSDBX8YH7TkIVwj/baYi7DXK0u1QfM3RPrRTneJVZd3EVLWb73qBcuW7VI9zoSpjOBCebQ
RkV/VWQTxgP0jlPld7nEFdrEyuJLndZjbM3MLCGuLUdaSKPqt70zX7t9OMygn0VeoalrbspJFMsN
3Vpy7kW8FLc1sVQDYtl2YOpSFe7ZYo4aShziZNGRmYjoD3qUD40Hhrl+VxSnR77bAB/0jAJNz6mf
Stc9G0IMLxs8z3p7DbW6fjdbs0p24C2y4UHRIve9Wpbpy6KNlbbXW7cpGNmg7YrSEftU4sJMDxSB
7ecS52Q5ni2KNXzI0Jbs80jTXnK9R0Qt9ILo+tC51s3Z2o1peogRXqJeQIOr7qrcEV/gO5rDwRBA
QbwmbOkL57FQyQ2carpnQ1tttTQCj4PYK2McPKt3Zlclz31uRu99o7Rvk9rZF5zXZnvTOY3chPEY
4ecs6vFI8YSunM0EEITVFjs+FVPzJTNuAkCJDvCapGbtGYjNjFA8nIxcKbKXhZvjJk0x50M3LNUz
SN4ZMY45ycxL5OYeHV3GJqrBIKruGQHkkYiZLyAjs8xM13csv/aZUqfRCVPnW19wt9DiySKmFRXK
kCRKbx3GdF43L2Qo5fzdvRMKP8XTGZNkN1WvKq4zVJ698RHlhfNotgU3uaaSCP0S17bAUpoTAdFP
Xww2dMxCA6j0yYoC0tiSnZouMg5k4SZHIYubNU0MckMbnyxrtq7XBsZz2+bJeTQmnSC/aYl3jbSd
t7aAZQwZW8mfUCvSq1Z0a5KeSCKmlLCyioQxeklSUJ7mk+OrMXzVs640lJ3tLA1oHELzTmM4JEFa
ljcOfYRNUmkm3ZdU6h7SvbvcNIfn1rQJVa4H7nd6olbsD0OH2ZJQU8cAWlosr1ZBvuNjr1Zx4idT
TPpyGSMG8SZUjuNBJbB18MZ+MRwko2pSHmAtJRFH5iF+6sZkor7QIlltmWIM06nB++EGcTYSdQ21
wIi3pMvqDeXWqF12GLNshjGteCbAosWq7US2Ary86M1HvGCNcoG9GsFNYiVxv51omFkkUXb6DLJ5
NKztOE8zdlg43KRjq6WV8azrUTldmI0d9efh4IzYmBogfLeJy3fdxM6YEfxo0y98lNxdgMbtnL03
xJ7JGG6M1dqH6MpgvCYnci/jRN6paW4dHAtb7m3WVcDIEgVs9tdxmOvTkFc0fw2aiuUKss4f8GgD
VDSrNPuaj9Jt0TITOuPVWUMCZGTBYedGWtmunaMgqy0B3w5BQSRN6zICJm9pjDYk2GbdgTuTZNma
TFtPc1vzGndkeVGWlvUuFLj2e7q1LvZlZCVfDDdvFa+IsyYA2ItCN+FLLBKTfl+Ct7tvTFIoPTXT
zC1Rn9HeUmswSrFDXLhtJQ0gJM21dA4wRQqXNl5i6bFA2p3fpz0QJf7EItDwUYPdjSGwc+bO6Mqm
zG6fARY75wOw+0fEPTMSWmucL3oYsGdla2BcbinsNqxD2COmzh33QpPwb93GvSKoFGm3k4KyTBUx
XVtTP5MqwvGAUNIYp7G0yBXMYBwcwkYnIKPOJ+2gNXNylFjdfEtpmzut1I3HQopxq7XG7C2lKw59
MkYSManlFBCuYVlOEWdwA1BnuokSJVo2kbP0O3Xu3VNdSQXDfmdkDOsw/sVmWV8qsupfVQbELwnn
2Ycu1rKDIBh9q7ZDeMNumTi7RrM70lnS6UsjE/Ndd1GxjG0xbgervHVZliZvbGy328RDdZv2JiaL
DpjQWdNkrLzo7aO9VjRGgHiIeEQi1UFtm3IwfAtBaLx18mFpvS4Xz3hWuKx9V3bHDMrBB5Pv3isT
DpM0StR9KmXxYtuFwlAOZT3KAR1vdj6Qj5aT0b4viqHa4GcaL6yuMao1gllLt7PGHyzVSPta47g5
9WFqABMuI60+zYWx4F1pl+q+yUcslOFUsHeVQ20earMfjnBWI4QcRMNaBD7K5MVSFPN66GcD/EXm
XpYt/B3Cix0wu2V7Wtyoe04Hi3DWkRDRM0Iuo2OhFQRRNkSL3ljG1N4UCfh2T5qDe8l7kS/F6KoP
GcNupEMMQm90GylsQrCxDEJhb9G8fcXxk9+Ti55uxrBI5AVXr3wGXYqXzpLKLm2ltat0E/t7Vb8P
xKVexTh9LqhcJpI6y+Jp1vATEImRxIeyMnENaH27ydxq4HmzJyPQ1ERcq/UqZi5AU11rvbLUt2WX
K2e6WbUvugaFHeUacFIvhHoNhabFteM5opNfyFMwXzqnHq6n3BXGgfjl7Kkaoyi6nE2Z8zCmZvml
Gjv5Fho5+rFuqhDudyA2gJuqqZtycBvsW4CuHeRwK7dRHEol9kKL/ihJUcSw+vw2FjNVse0haJnw
YKwjZsjLQgmUPtWJ/RhhNnhcXI3I3K6UGymdBShajF2hpjBDKGXBcJ2XUX5Y2KsaLxv4d4gN/Yc1
yuGQj0TwjqK1zyzkzddZVQFU6IiiiQMLN/l9XsIgiJuiOyZxqO5UEYozsuz5RUir88eUHnPsA/ln
s5n5cDrfzgbe4RDzRbeiFty3adGl23o2ltfGLVNz00xIJBiKh28SpoiJrH8oI55Ys4lJFZ7j7EpT
oBlz4VHe6/x4Sbe4LnHD2l15CTdguaEwjYOJQMTcMxMnwuHf5+iX+J3RTnfT6sXNeuBxllGOW4Tx
CSKRbKg9aTVAWyopIh8rQ/maEY53NEnCejX6vtsMYQsAHUR+eIyq5v+ydx47kiNptn6Xu2eBmsbF
3dC1CA+tckNEZkQaNWnUxqe/n3dVd1fnne5BAzOLAWZXyMpI93Bh9otzvmNdRYxefgh4ShsCRhe9
yoRZv/ZCqh9E/ioN9CQg0irx6G5DfCwPSa3nc9s11VMdwivC/Vl7l1qkkH2nJu0OlVqYMNuurO84
9ZGTYGJf9hQ7dRMxpJHPsVVcz52JY7KzQ+CtZWihvYHDB22H7O+S9lGrbyLNuGqEES63bak8d90M
8/DR97W3IZ6mQ7lAYt+tQwKXGwVInfJVolkEAt0laK9vLTTfnTCXZ7n04RNB2bnATBcul1Qn5r6q
52pcM/Ny3wg4G5NHcmfCO+UitdpwwIjPntqyj+bZ1DGam9m9q6T2jklRQ11PSyzJTu0Y/Yrkc7b6
ktdsb6bhuPP6Ho2YZ7XBPWHLRhCJarIfWbbiFfPl8JIsffrIRFrcTVpStyWe6u4Lu/fGrRlik6Uk
MUxNZT/6JB+M0n8c/TC9zcYFFgbSPX17hUr8wJ3hPKiGg3rvO7VEX2J4aDxHz/jkxMu23M/+1gYm
8xXouSEkI/GecV7U1rYzDf/BHCb/W71kkIAQl6UrJuoMSZgIh8eEWIf3HBL/XWm2xvdalNmjqZM2
PdldX56qUQc/oc2lDXEKXR1H+K/LTwfTyMsyzQgpl2I8BSBSiNoOEpMRRzBm1RZgBMKitOIU2itV
+nutMuPZl7oYN0XXdDuz9/pTeQWjBzo1zZXyGmdj6QEBcmUXxRHJ85TAQhz16yKwVdXgrjR/N0BV
kpQphn/yWM6MjEmNMGTabqZKpqdZdubBKoe32UQNGMs6XS+YE3kitvoW1+a1mfKbI2hpcUhRsXJ3
SVCwUwAoX+MwjVI9kdLB4RU5RvJC1IKI3NYmE7uHfG934c86QPnpO+1hlrHcKGK+ti5buZ24Apni
VMdfMYSjW9euOf90aBAbMtMdGr27q8s+2U2UCBhT5hGWOSkNd3PlJQeVNfilCfbaW92Un5QMhh9T
3jf3wOHYX8QjpVExB/WTy9239cXU7acilN8oZwDmh8lDWnE0dwNPVC9BzA2ONjsY6/jUeGO6a0I8
27McuvMAwIYCBPjClE4/6B56RoYCVSM3cb4Zq6n/zBXmkE02FeJQZIn4linbkusK7M5x4gOCDVK3
p1bZPcVinh3DLh8/FqE+lwaKdFQgieE6pRtrkio++Lptj9qwF9KHJTO9JKGrTbVj3oQp/NIkINVY
VcZIQA1GlzSesWmXphYrNc9k4qi8P0PxxV5lNArmi9eat97isU83Mv/s1PETH/t7NMKncR5enGVy
7xik4jfzioV88byJEOnC8dMdiHFkdjRupO7cJEZf5atMDwVo9jl5NaUfrug+8auFlXr2sed+pE0+
3/mLDeXL9PvsRiMsguI8uQdiQOHnmHPncrwRlPTOluw2b7r2Nse5BPi538OfbqkAB4Lv0coNJKW3
8aqC7fNGPvT4vVm6mzIp1KkrsnKtLBNLeFo6EnhkbJKhDatOwKDa6kGLGwq95QS3v7varIbHMuGx
HRDPazaPw1YVBE/wETUIUV9K+4JaYHrqA2pzvGg9MS5M6NEkC+/YW/a4qVAORr12uu+iSuW2CIP5
5IXx9BhLr6DP6c0tykxuNx/BsmNY/quoVIg1oJFyXMOaWcwN1cgdM0RYMCVe2SaqB5RTylBoset8
qPoVho2eK9xSycqna6MbNpzmW49ZvFwnxjD+ZH3bB0+Q8Mg8J2+uojPpmWj33CafrW1MKDiLct7D
I6tQ7rWMJwbHLmLUvFkj78qsMV/iFHk64CwUIpljf7MTw7+1s8L67AhSsGAAFCVyVt6Hw0B3s/Xx
57OBW+b0JVfz5EWGIB7sESJgBTlDKrFBQtw31+Tf5W1MGu8QMAE6zENn0y/MTgWHrrD9/XVA8iE9
w9qM5N6yhBxnH5QnZOkS/GxvPFpAoaJ+wrPB/dI8JkXQf9gFIkWjs8q97aXf2qxOTg45PtWmGABT
mRNzFvq6wlpjHfWeVKB7PIOLY9/IWVuMVqs2azc2IO9g1+MehZUxG1lPOG1ZiZdMpba5a7g1ocbH
xbVklOcJsVo6tRkvRB/iX447c8GkPobmz8ach4tY3PjVnMsAZ6R2gGzkQPKJmElRg8uwwlyVofZn
pDUXRyPInPJpivvlEevZ6J/LmTghTOdzDpo30WSuT8a00kwldr0TvIclEZVQulykyAznAk6kFO0x
sqDlhqaz/RZW3FjbacKql0ucEbRmxlMjYnE2/KVbUUIibxgIDuErl7YXjnzfPamhzG7xY7g/imwQ
r0xmzMjgPqKSbjxCb4rmQpqF+uG2EgVyihnxPKvB2lphUnxmRmPEeyUyMD1m0uYtkewQpZEOlK1H
xcfAIHIam4RIv5k8a92mzXTDxqG7toWDZB5RqA7oyAxRCwlhNUyM/SUuXaerA/NUJFc/ZurOfN27
LMEmEptl7+w7OjFAIYEWxW4MIPy2uYf00W2b4c2J1bVUZkvCndMVxRO0+4rkViaWt0RgFPxp2XK4
JyUfzIh7OvePyivdD5gWMCeGRM6rnBwmKhyuKM2+sImwds7HKWyuRjyrefVLS7xBu8RYJNvEuKtF
4WiUia7oyH3rNLKFnhI2LYb2QCVekEbUYEqO9dDR3lXKRMCT9Q12nUTIb67SZE74ZEUAURYuTRc5
9ts+GIK1lwrvh8/8w2BTjabBdwvyZVJqnresM7p2Z/kD7lPlO3clS5Z9UeIk5RPsFA+VUaj9FDsK
P31L77Fi3dqT/936FYkcyPXx9ZZ8SUond5vNWNat2sV2aYySnWxcNohj2njYDKWV7fIxgKwWk5n1
Pvo0WPwmonsZdIAj2h/mkN868BdJflLPRioINQM0Inbij6FIrCcRiGTcuL3wqROgjJz8bhzKSHpj
9mFjNmZukRI/sNXSMo1VObp9ewwDlshZNdB08fH00T7IOfAseLKzfGNlBBe7sv0jA5Eg3VbCqXZM
a4vPSpX2TUX2AVFb+V/cr13Q+rfpIPsXFXrZq5pMMnBI0/D5Ndk0YcYygg7Rkgv0ksCQpTr2OkZW
3reCOJ9hlOETMlm6efS4pAH7VvY91hMeaBjcyj5zTqTQjkyr4QOae6V1ELNqq50U4eicpnIcgDFl
c/Cjxdr6XKDXpxmDrYEQ2GakF6V9oFeQhZg90gsQPJ7D4cgQtVuO/JiDNDixzmJWip9ZXNBONZAj
OT85sDOpUFVx/i/rvMJCu/aqfglWRWUxsPGTgfC9MR2bC2vvGWGuzud3H2rRegnU8M43qbXPrWkO
O5JGuuGMPWEk0s+A1sXCqpOfMdypZDvbA8vhOK4MoBMBoWSMTeeifM6cEbFEWC92BN1G+auJa5JM
QT+cdq6fNxvD7mBYj42pz7oy0IvRRRoSMuas5GYp6iLb2AneJht7TINpABI9LRP6Z4WScdiMcCdu
YBfFE+6xbNkoM8MUPuEy5UA1Q6RQnKr4rAQAHaOezOGsJw8lD4meaiEosWGOlrYmw6Qu8DkHliQU
l27pqe4LbjZaMJ9lXpxlGJGEU7T+rhYSIAAELoZFuuYJS2Pu4ptuAEsCjcX6OeaGeGhZ4TJ5zMDN
uEaNr81MMtb0XlI0BYzupq02HcemjPxeGfeSVkO82OmiN9IfUxqYrFdcLtYIbK0DMP/TxZT8raAg
8zZZaqcPTHEJradwVeR6BOlDXgi9Z4OajNskn4OXJh2a06JH+ZKVCZV0JZrsrlDFW0MgMUGeQYAv
g0tkEw+s76XqRwzhc1x9sNAxPslF009ZEQ7GOqkJe48Cjl19KrgK22gWRXmhh5zFHr8/s+x8DH9Q
zLXfzUyUz4s5IyvHX9JtaNaSo0FChliBhOI36uPBiRzfJ1grKdwvy1AIdGLtbGcGCidGOgADHW+4
63AZDmsDHrFFstG07FHjyodeTc1DvGAWT7IcJW1iS/sR5Bhndr+I/imHuT2fCJ1utgvzFbldpgC3
DWknTKKspmOFGruwjPaCjy+5kPXoMLdMkym7MGzINVxia1zOzVV9vO9mz2E9k/QCOFhuW4deJ4+J
cv0Vk0T9YcYp2c7o0hsTpaVQSzGRQu8qOgFlv1GTzdAi8yzxH3NaE2BpuWiu6UXyCaG+eKIWlcvK
DJPAWJmsogzKNqVeEWHVP4H9U4s6LXOAlejM8ssGiZRD+csK5K0zw34AA2q12DOCu5KDnoqy9cvf
lVT/1ZvXf4pA+Z9qpbZMRCAcXv9yRfslE1gp+uMftrN/+8HfF7QE2gcMTcmnQJp+NT/zT/4uchfh
bwJlNOtRcuv/+D9/39AitL5KsQjRdq7ElL9vaL3frptehA+oe39f3v4bInfUuP+4oAXXwoL4inK8
anzC4Cqn/7OgZIj5aHsl+IOWBYHc2yoHEg69E3GrxRT5c86ZAPQ+Y9eD5/jDo2tpITf+ZGXLFhKc
86xYsx2q3idcsPE5taMyNWCQMfub1a40Euc57AKiX6fJvC0Nw+vvHA+7zioAGTtEiHAyoBQ1nS/T
dKGas2nU80EDJl55nkzkhomDfOo8QtVhxkL9GAbLeAotyhgxBMMbCFcmy5kIN/RuOR2seDCh3K5H
x8QcwqQgBKGEV6obW7xhqsH+SzGJhtOV8mxm5JRFrWstZy/pGoIoXe7bbiggyy1FiTmxLW+Vndr7
2BOEEHqLs9fwwFkRwz6vDM1arSy0fz8l7MZEDah6svLppiH6laa2HCMHN+jGASUcwV2p0Fz7K3t0
7eZlrMU0PMRQEwDKdPWDFRqNuA7xqOJrm1CEs23HqTxO1TTeq7HwufaZMcuzgnoyYTgYRyIEqE5x
I1VqRnhjxUybpEG2c8Qkr4c6Y9EJECEaGtb9YnmhvsVd5lf3lmsaXHEmq9p9nhltfEgaYS2Hwez9
7BiPU3g1A8fWuBkG31u2DrHeb0RGKu9elG1vb60FNhA7XnBNK3uwc+aUCyXaNqZQ2wW9mXyadSMD
7E1luKvawXrxwMS3ULkYPGAz/hmG82lAqH9nV8I+161u8sgxjb0xi/GNC3iOEjO+gzTnR76aqHX6
uQxvnHZalxoAClGL5tY3iUSrQfZCz/fMade5VffplGOwr20jSXfpyFR2XdRYr3O/EaBnM5ZPOqh9
vWbYLx6JiNMsO6+suhlnVtr1xWNPJiR7YDbEjJaTHcVnfQR1U64hlcuNmYrj0Opww5pueYqr1NqO
qvaOvn/tk3C0X4dstxJ/XF533aN22cgklt/dGtKKt1M+yTLCXuxGbtESD1jXCR4AVfLnu9qYirMH
wQdrptOudVmU55ZNN1uQzE2f+LQOpxqoGUM9u9YT46w0O2iJFYq05GFdDhZOwkYOBzlO+W0o4vG9
572NI6QRNK4Y7rSMNOMMIOSsYBkMYyAsy+BlTtPyXul6V09kjqrQXF7Y4KWfHs3/hvIFX+Qgu12Q
DBmve6YxUUv1HlBSHQpjGZDG6696GJoSm7ldbsQc9xjYMwy2bWDk1BmT/zjViJNWFp61b43uQYKZ
3FcHigYDW/vMSNBm4Ogb9sAUFSaMqWgtljCglpsZhZQsmrYFmlHaNVnsi9A40tP5nDDlfINUbHiL
zW6i5ZbFnQwddeyarDoqnYS30lHxhzuNcf+7KPJ/r8Un3Xz93//z8Vmm1fUT36Y/+j/fbjZOLQR3
/1y2dDd8IoD8alv9H/zY3yRLduh6UJkxqQSQwrhy/rB9eb8hQL5KPf9giPF//rgRLR9OiM2NyHoe
6C98xb/diJb521XgxKTP4cqmHLP+Hc3SVbT2Z9Gpz32Lnsrk9r2ORMQvotO/E2oM4b3HMDU6gcdL
yoFWCVJURKT0zMUXnJvK+fGnV+ru9wf5506pwP31oX8RrduZFeRAjCGduvnVY8mcI8mWfZPH3yfF
aOFfP9qv2QXuVXxsAWzj8sdNYtu/3PxZPMJLpJ9Az5u7R6n4koRZ0KxnYcPh6Jo3eH/Zjnca3G8x
iE0YjECmGtNbj/7wBveXYedybSzyOxb9N142r5wBFADJa68KwysvVQ9Zpc5OllN1m3/97Kmdfnmj
AlRqlhBEvFlkt4S/JrzZbUmrhhho4+U9AlDHySAe9gh+WJtq4qgWj9tUi/WSO/MdXLj0EUD1rT1f
+9xrnKs5qLd8YVHH/ugdau85cdydXeffZUBny17jgGGPoMKJv2uX0I8qsSyRnOAh1wmtIyT0g1S2
+WRUptsy7Gj3CIzW9FoMN+91ba6yJN2MXvLgetle6uk7/X6UT8mGYQZJ9WO/kml+HyT5Q1NoHBOf
unVR7MzRtzmdl12guah6chshwYS0+BYWeiqm4UANQa5r5xOdKPhl5sp5cVvL2dmFLZ/83LxnkkNq
asgjOxQOZ5vZ5UdWktZah9mMF7En6h39T+SyXggiytP2mhec3uo2wNYIOGpvBrncUnLNaw9s2tGl
oDsLnPqRG2bdHeepu1/KjtFHV4tvgH0CapO0vhUei5Yh5BqKKt9nJRKHG29K7O+NB0O2GXrzOFqn
yU6mCynK9NamwAudOXm99Xx7OVYDD2H6XMgjmQBGFTSfaZp9prL2D1MIWIERCpgY37o3uqaNap0A
oijeU5EclRs+yxHPZMBb43W6ZX3DDzRZnO6nEq5/UXbqxgLxSVjUU1Dwfv/rD6TNAfQPB4cgVeH6
FcayGsCe/9V7GMraUlyG1mYoigqhGKnn5GyqHrUVTWizQ+XuPKWpPZ+XZDC+JbFnsTu/Do3iVNVn
WoTnmWDTZYzh/Q2D+JoroR8d/M+7zou7lR925gPSmfy1U8NwE8yx+fMvv8L/Xmr/6aUWmpwu/+pS
q7KP7/94of3lR/7wMfu/YRbm4qLLExZxA/iz/rjQHJiY3EiQMl3Od5Avf7vQHPs3OkIAupgcuNKu
H5e/anBDbkHSFflBFO6Yuux/6z4Tv1oGuE99fDZkQRBmxL37yzl/VXj4LF2r3TCM3b4lUeqjSv0m
ksKJ75BLdqdJmXpdMMZgxYy33SMU5tDOIjtBqsTK73niRVTa+wxbomOVG8C8siB04EqeTwSmJHjO
YLS2nhcf3RK1iJyXD39w2Qela2ewdeTP5ckwChdYI/zMgIoVP256cXQHinpJX+za/WQmA8TbAynV
NWpnlwV2SsdEV6ca7l4m2CkAjcB6LryUvDSFAeroLG510+R6uQX3U/4Ycg7dq5/ku07tZM/jTbcA
56CTuwYK4obl5ItNjvWqNcZm5YIyXBMRmn/zygFc4sKjxmz+mLSm192N6YwHV9XylczE6WBUtbPG
jzCugZZAuM5rtB1AVTJLl4epFbBYSMfa1UjnqES72poRg83DXcKwbm/kfnWqJf2eLjsPrGJlJ1HS
Z/azRnwh23l+TDNHXrrEnSIbl/LOKIM7263G5z405Zcq0vYt9Sf3vjQZa9ak+dylQjmrua2bTenH
6SOeHPsQ2volC0Z1l3ipxdGhPFIf4wHOVJyex0RUL1M8mzt2/LSOnUzXfDRWLfjJD2CB6SVJRIKV
NMXIHdXMzB457csLKJGv2GX1vaQ51dDgqzef3frKcHXzw1/inzrTYlkH4fya2M0+TzwMXYRqpY1l
3Y8iZ2UjMthEwRS+uf7cnC3duCenbNkHQg/6dGHkMwpv0QSysYHogBz1Ui3N9YrGAvuj8QbiBsFc
HLo50agHSegqTTe+TCiH9pzkrPsIaLrGKdk3Sgdf5Axb9puT8ci4+sPHjgHisfCIFVrwK3iRnQ3N
ZpFa0rsbTbVEvAnlHdPc/BImCzZ/Y9HP9lJYbH/YV0i3Vq+gG/Wl0KCspTmaZ22rcS1VCXY+GKf1
YPEGIVezw5tyYh7PTLHp9mYSs4yoRihEhv8Tk6C49APqBmWrcMu8d14ltT0fem6ZC4yEZxTSah2y
l9pi8BVb7rDgCuwYt01RFh9+YmCJ61IUI55PXxdDYt1kLcwNtWhmlpVhrKBz1StD0/H6Q21u3AXs
u0y1ArBea0Y7Q7Ar0LGyng5uq7ndlU7F9kUszU0sYnftZQLTH4kvyFZ2ixyjBn9Vm8UrDDDsOuz6
uwdsznKL9ASQiSi4wczvm9lPt811tZR3dkTD6m59dkY7hhcVnjBTvOfpDERDmqTVW6maHvyqeXf9
EvK13HhLdwbK+iMbKx8aSS72jdG629YqYw6f679YtsKBtD+Bj10eps59EFaqSSK4QstUrB9lCL7W
mdhyxdjBVnOKIsarL226zBu/t6uVNfjGQ+03w2tST6wfQN/u2tw3bwnE6Fe1rqyTmcn+WMOb3Qx9
E3z1uP+2fu07N+3g8GWijN7EyGEfycPlVZ1dxLk6nKHKjwx6PdyYfI6rjbD0lQaxNPOrLGNxcAI4
UjDsui2FeH2cAwL5GJJ3u7HO9CGvPSbYFnXcoVvkQo5fvNwJCYtIBs6VdCVZ18aaoVPLu61zVNYe
0lRC+JJ+l4eq2BhxUNN0w4CzB6JDcXw73xvshECD81qf+9a0ViX6CfQ7dfzKVmVZMX9GqBNO49FU
c3Vkuwklvgyr7yxD+hOVmrkSYW4+8CXH3pcm6FcoBwnInu3JefbTOkBAr4tmk1fzQOECcvXSIXsW
myQVzjYbM5ACrMo+5xAW0qTUBvbcDoQSYyjSaAq3DohWrLy3sTLuh24C+sVvHoPxRpiMrVp7zKXI
uHnDeLFsygImY6b7flvXuJnjtghxVZCcwEAt6aIuHPj+99pbdSma+b7yzLsuKDa5ORRRIkNM2TFM
Olq1IfOG1eAkSIEd95Qt5AC4oXislhHJRc3dDWTe7R8RLqRMUqbPXDj5fiJJcR3H401SpfeZ47tr
5inzdhFju0o70932mIR3zhA3O8fjBAd6vuDSxZdFrMz4xfL0PhmD58xv+jAa+QdQwTT6rck4NoiT
LTNvT/wKOjkEACSDmOuuiFtUBcDioTvrbykV/AN0xfHEv74qxLiPR8lQh1O/SJ8cJ7jYJexEg7U9
AOly0/WGGXkFmEoCYpNza5jZkVhN9xBkvlrF/OavXhk6750DxSpVIj9wS+yhtjdAHY12p9UQeytr
HCeJDLxq3uYlkCfl6/42KHVzqo2g/ypDlx0F8nCuQU2TkZdketGwr4OlCx86Hx0kK7eNz1BmsMdL
nJWnYcqWi1VK2pjE5potqlWMbJMVo0oJsYwzDlVwv0dIXqxYnQ6UpF6VlMKRnfQscDMHkwl9KB60
qFeZ02BWRKxoLf0BCR4qQdHAjReSWWD2heYj9LY+8cwL9hC7fQRhqc6N+EKNO/1MAx1f1IwqaYo9
++Sxs61244ShcA0ovP9YuIa+ssUU64ZtFzoTLOKscAnXWQes5ohnua6XSOwx1uxHyU6eilSRHWb2
a1CF7Q3J24ha+6uSAfGl+cLRk8F4ieddp6ruiv6cdqZdWetFoK0eUIWstMVuyACkfSiFXsBSSR0n
ayfpnpoEz0mnxK0wvIGQZWG86JRVelNTokiz+SqaeX5qyqBYGXTC28EtuL0dpwzvhVu/kNlzV1fA
o6squfRpu/UHVk9MH9+svn1uad8ip8qde+Yq9RYegt5y7YU3VVzStWqzCN4yD1tCTVkhvfxHlrg7
xI77pUM6nwb7qSdbYJpcOp3FLWXJN6tGyTxyYHTZps48PD+m2tds8bRhPuRm8oML7WVqx8/Oc3dX
4c8FIZNiSO2GKx8dUeQxVeXepQqL4e9VPoH1/qJvms41V7BV3bWjXXUBPrAtvFgm62kOunWYuMNF
mqD7gkZNFtoe0rgypA1PHL/irJeO1Ww/Gu6GEh6fiUXV6SYXs87TEwtbgzC6ydkrAoXvqeL0Y50V
OCzHybuzBC7nMvt0JQVsObvDaeCNXqliuPFRwB4N0kWizvOKCNh3t76CrY8xtNc1ANp57xijuUKO
/ZFpv0FxWRTnSWiu6Fj5uLBqxhSdP6/rhSi+DmDWHeW3OopgtPcNGu8jtNpTaczqfUAMcHW1wegb
08SJCE2ZwIz07JZhbN+GsWVhyqo/RAFDzwtbeFzcPtEc+AdlpIhMVP+m/PZDjcAtU5tNuC7Vzmc4
fIxNy3j10lK8VeVkbFJsbc+V265L/9rBezolsZ2X7ou1ermhomTNobVczVllehF6ne6IKrCAa6T2
tBYY8qfe50Ut5RkrTHMXCC4pWRfgOqrhFQCNOiNPad/rtLbgy7GpAeCoDA6eq3FgypFdxqrlswOM
Fy1TvJpkaCAXywljBUy5a8Yhfq50osCqMSdXiQLU1TbOBXtTQwZpAcXNLqrXVrYotcoJeQF2qQfb
KNkcpX3xWZdWsFMQIH+GTRPv5qlxV0JRQTdB5p5ti5UPw/Gq/GCzjtVqBCcaWZOwGbzr9FFKqjwU
Cyp9wVXIlVGQ+WoPsbxYBJrvpFOaFwuBEVh06SCo6LpDvJQWs5RKfqtcSJPY9ew1Aq3y01VDeEH3
5r1oyzIg/00sOgAGvYedkg+5yorHGgf3cRICEXhmpSMvve0zTiiIVrFcULvd9XKtkvsuc7dL6yUU
bB0Sm4TRjNHN0yXAOrjyJ0V4Y4dGrATxuVni+It9ElD1pUn8bVVoSrfZibfMwcS7NbfOicxh52Fa
COibe0udZJeR41L43l73nveNllVtFsJVv5o+ttchDeAh0aK+9WWaXkYrSfc4UCjI3UodayckEMUg
XRLrnLBWdnqXG1O1QWlnbkQaElZsWB47sZD8nqW9Lc0EsN/sAQsJ+vIolpzxYWOHh54x5tmb2vwn
v6iCydYEJ7TfDN2KHhX0VOifXrz86EsWUQKHKRlFQq6tdraQwVhXvpHk/Cyq+BQn8jLmOZWjFd7Y
oObXvvDGFYO59DW9IvGnpXivCUSDfZkFN82AJcBbsm1F+OqqtrvpdG3ykW1WX4gQdriDwlPdh3oT
t0m4bhBWvyQESzoIJRDqJnzn1sXoY8AD17gehtY6u5RgK2Xb1bOkgI/p5cYXaXo+OBDzMdMy3rrx
lgSUnZWr/EiU+X02+etAThwumpLcNLcsk/QFzRFEWNY6ESz428ztvvPxnNFHltkFwR7MKt0ijumR
aE9A1HbtwhAWKUwFspPNqEW2K5KlzL9FcfW+JOZFcn5uClbP19ogJVoJfPPYGPaGPi/eC1RBJPym
7f0I9BQVSwcCtAuXayRcueemyI7WiKRJjaW4HciS3HXohqC9yJuR3TcLvJYcinQeLIjSTM9w82V4
dK067pCxh/arbVM8uWLlquLK7K8L2NWNka8ofPdJfc6FwMbDbuvMLA8rpzDm8bHzsuq9jG2+PAD7
4h9tXC1GFCcBG2EzUeRNm2N2X7aW8TC7HkzaQ+uOKJL7xOwpM70Rw09eXbI+syBkV+2lMQra3KTl
iWe5IuaaYBuJrC98G5wlfrGxNWzUSN8S9SmCtqisZn3Aq2TtsFH0O3Q8/kNbzflR9/5w8HTtPTiz
6+6G0W5/+G0WmmuEVul7XYf9j7ks8cE0DV/GkcOTl4aUOOgOh54nuQ/tSUejz4I1rbueiXXrvtFL
Ty/jkJaPSGDcSx6QHp5YVQ3b22xvHd7Te7u0eTKoYF6kPX01RWZv6ITSY2KO1q22+C/UPaR2O87I
3MBDEdZVhnXLbWttShelG9VHGWltnDE54WfDobsNKCyi0FJGVBTX8A8bJyVlOuLQi9mEwWNQzAaJ
SPZEwV2XN2Zpbux2wV0qPU6sUaZ7X485nh6E2GFfPxFd8NGi6lx0akTZlH7muZsdAtXelGPrrEw9
qyZy5teO5kfwHQ4c4uBxT32rkacfUZkl9/8tc8//QXQBh+EhQo9/PtF8TImPKv880fzjR/5Y0Ynf
QltcB4ZQn+HJBUwn/xCtCKgCpm+bzC6BcPHnf5WsCGCO/EHogFgnGTdgovrXgWYAVIAUc0iDLjPS
68Lv35Cs/ILOQQvjOjwrG9UMo1Ycgr8AQGInIZamslGBjolxXNoJR3ud3rix3RyDeUJHDeZk7RL4
s5kaOT+nUy6PlUXvrExc1VbYOVFpj4KatqPDo+N/QIs/H2qj6W/KK7D8T6/sf7DWu85X/75R/P+f
73WR9Sdki2dov0+FtkgELibSFBn5NTYTOPAZVI0mXCO27jfwxuLftVv/FLMEguM/eehfNopMPMuG
Cgl+reyItAEydck52LZ4vesNOZiEoYUF9YfVXvWl3u18lZj6KizXYRCyGaOp2eul8rDO/z/2zmS5
cezstq9y485Rgb4Z3AlBkGBPSVSTmiBSmRJ6HPTd0/8LWS5XZVb+Wddze+CwHSVTpIhzvmbvtQfE
Fk7F8BZ2A6Nm1lAln56pjZdMC8JTAO3LjS0hYM4Vsk982n3ZJx4m9ceUOB8um0piZVPSx76ksTQR
gVah/xBRzhnW5h0EFTk8pg2RBGk2xl5Wqvk+d2RxMjonPtXFPHyKuoHqWirFMVYy1ZtyrsC6bD25
+DL1kbxj7bIlN1uCuRUxnhsU+VEfEBNZmGm2mZYR0TCG8SbB0ZPUTgPZRagIiGJD3kYFyXksbKCb
k7BDNqmBIEJNHg0zuHTTcIcrqN41w3rIpBe9KZxDi11kPyXOczOr0ha9+6HGALeeIlM9JnN4ynO8
9mhgSHOaElj3XbzVBjSfvW19bnPuZ1qMAqJVsqdOk1ZqP11GOTI2DT4brwOiR86h1u7LfsRY3lFr
BVl8FsGMRrKW/ToUOPHHfTBPTCTrco1wdqWilxVJtTeVwFiFmlxt2OuOANnzZhPPar9liELG81BW
K+4thNyTLDzeGIKnGOCGUZvy6xDWiLvCoWULoMA9Zg16N3SOtuepwefWHQIC/1a6rTKVjMbbSKb2
3ZgTjzHmusyEvSPqaigZfUrYqsfBg2fsMOrnbxKhdrk4He7EHuDxkb6NxW2iwHswg51dmPK2xf+5
02FvuLYqIq9iZufC0DAICSwXZI4232iI9lAYPEmQz91H+W7Wam2dYQXFtsK3eTSwZABMFeAYHJrh
tJsOAwhzxoItntQ+f4NccGvT1q3R120r7ngnsm+y7KwbsyN9KOOzNAZcySjZcPe1WCIqzXILUsXd
TLXxN3YlBRWxDL1j+AZ/TRJUiYkynoqiYZauTTa2QoRkWtYla2T4OMayhB1tRcNn2ckWP/S9Usjy
QYISsTKHcViP2dCtRNlah0mU6QNOW9JXLYv+RH9YpoTr1B6RueOchPidnE17hD4Y0UpgMW/dFjPy
GlvXVhrqLaIdydPN8B77GWYBqlN69x2+4vvYpg+upvHWjvHBKGO3baNzXyklLToONKv3xuZpzqqL
VSEXsuTuPkIU9qhWabyBIOMVcvc5JS7KJRHrhDsbhVJxayTMMKOzqaL8i6wUXsuKgJwLpafCbSKX
gerZmUyALzM4gaTC3OfswcFeRivcJ0GhMpeuyGYKpsnahIFZiJXQRPOmoAHhcy/khxFrRMNe+55k
CLCKMVzLwunHLz077ZVcIHddIX91PkcZfAyZt7Ub8UTyp8Lz7LJEJS+sKrEcTUShIBOHoldphV+X
ECfUVIUAAxRzXecpwrZAZXSBk+iUyFXnZ1IY7TXORYpe+TFnbbsoeofDhEXoVjtEVs0tkzAtlOTt
ECmMNsHek5JSWPIR57e8c6quJsoBfMwAttyPBQiGYCBzmbAqeBkzLW+b1TIh9cGlnKZ9rWqTZ5jp
bSqSdo/9mvsh1Z9IY4q8urQgduB2WNUqQgpJBSusVqjMZJtZUYvFAxMzAoUkRaDgNE28C5cSOJFq
eYsfM/YsmbmMIxrjJaeCsoKZ8y7RXdKvEx9UerJWcWP49QCXUVLEhxUWPqb8dmuYkJ0kGia/ceJP
GpN5T4+DOyvWGKtHAeotOk2U+rg1BilRdjnCqzM92v2vL1CKih8vULaoqqFQ6SHIsX4gEyqSHilS
2ig+9vI7EeNgzROiGrBFH379Qj/km3+7qr97pR9Ki7Qdi0jGl+n3YWeQyeC8KwgbV7RFAs+g+Wai
V1yNBhkzznLyltYg1r/+FbTvZQS//wqon3TNWOTCbIe/rxZsUQxJ0czMDcjPK11ZVyVkNQ02gMxi
eF6Dfo0rJX3AOIPQDp/FOVhOkghDGXuMoDo4Q4s0ohFs6ZL6Dr2JQ1ZRvdD6lKI4G9Yc+ClcAmDr
WejHQUu2wjg2HphqDkFQOXUl2z6tzAcTODhiSDzcvM7v+D0kD0PQ51+/35/9bf/6dpcK5i/FUaJn
GZobQ/ElA+56U4+aO9FarRl3zu6vX4ot/N++RijnScLm33TWwN+/lDIwxmpJlvPjzvpoLbyak6G/
ktFRrGujfPn1i/2NHs5fEMjWn6+26K7/8sakmN59FInqG3F/nTtDe9Zg4uySIfyqxHSYlZm2V0Lc
o73dqrPfSjiX1LQ0YD+E7clJOj/hL7lueAwzk4TXpOmI8Ag43MIR/VAc8ydMjUEm+IU8DzJviquc
oOks0yVTalT4f2OStmo06TguRUm1lCc6dcqv3+f38vFvX1cqfsVcpKk2b3f5Ov/lbeIMN2WJe8Q3
K7zAqUnKea5BbskdU7rGvQSjoKvQZf/6VX/2oH73sj/U1GorONwEk1tJN3g0auOrlSrczHWQYq+Q
pX0xjeeAreQ1W6oca2jTf3hQf/orcCihmycO1WZf9P07z2QCc8s8VnwtBgLScCXGRnPCMxK4wDNo
lgmIYC1HvamZr5z61ebXn8FPvs4Adf58/R+enG4AJ6YUoe63WfeqNfF4botA2+eVyRdbCv9B3rR0
Cj80MbxTGRAY/gbo4j+822iIpbolUNk3tCY5KmiZ8UrCAvj1e/rJafDdq/zwnhoN0UVmCN3PWxr/
gTfIfEL3WibS//Dn+9krLW9FVm2DbvVvh0HpdMU8m7I/Y0xYDbbynBGbzT3zD+/op1+Tv77QD+cA
/UfXog3UuU1YLcdDe0lUS9868MLwZXbaQ0q0Be6xpTzGh0orULblP2Cbf9Iy67JsIfG0ZVST9O7f
f1eDaBwqKw40v7OS0p/ZwtxKVVd2cTxqfgkeT5ROug57ds5xP1G+hVHlWhUgA6hAnyUrTr0ScWO1
VBfFIQ3zZ7PWWJDF6hMSBPEPDbP29y+bjjLDcHA5LL+x8cPXQFLwguZzza+G6h3hkVgpkUyYzEwG
kCnNp9ExRw/1gd81EY7agbwWmlCyr8eU8t0oMuypHKd1X+woUwMvYeGQl/Q0DflhKCyrj7Icwp1c
5ZRwbIQVNDOYfKGU9ZPNzEois6+cBbVVGZAPlr1DfiWIdKhy4gJ6/dg0ze8lzn+ld/8gvbOQ0TFM
+sspsf7cfv4/7wXl5XT+nKNF3wpKit//h93X//d///0T/9Le6b+pJD7zleYkNEkX4bvyb+2daRD4
CCDwj6nTH7MqxcB5hRML+9QSPAmu8N+zKmVJscZXhQQKwjmH0X80q/r+jEbxxy/GsIzbwTBZUvxI
rFctFONGNsDwAFGJlDjCeghJz1WUCNt1noz7v3wy178ryL8/1f54PV7QQF7P5/HDg5OFWpOaGcyQ
WW+SFST4D4zkwKAGVMW/fiVq0e9uhG+vxfXFXA/lo2EZ8g83As4gVdOiaPCQMjKByw2SkDg3lB2D
/fKUBmF/6mYt2QLYKdBK1c5XcJj9tWE+vkNGgKG7klJlL0/06zS2jc64GcD3s54hFVvFtmmcTTNU
9p2sNm/TMBuB2ygWsVzJaEdIFGa4F+gFxLu0uElNO1VuuV1je9IsCuRDq9fyNc7UJkQeMgeg/C39
vTUjwcRhSHoslVn30Y3EXoRmHGCJZlQjgmy+YtwkTKoFOrit+g6aYteyhDFn6VDJjtz7ld4hNkoj
h1+ls4LgmSMMfJfK1JHTM8ws9I/2ZLF9DCVrWzKhECyfEgzRnTPQtjZAbMRKs/r6I6dF21sogKyQ
74PSd2xbrOJYTOaNHBHOshT49n4OoY7EqlFcxzGjmFNbTw9kMrPi8kXKo8TlCL1L9LnYFoZ1nEYI
U7GDwBBEUeVqjlQfJ8pMV2ZHS/Y5gjGm+FkE+dOGDJAaqadIrCzQLrzEyOSXVTcoKLQZK+p/up3e
orDAz5M1jhtFaQk+gnhGgxAllMoTFil1yUBeNap0P6GKo4tr0JSP0ZZhsY7s2tmpFROBtNR4eShy
K1mht4D/wFAs4T+g6SNqQ/hN1jpun1kktEUNixKdF1fNHLW+zW6+UwiXEjWPThF+DtX0hEY1Xatm
+DYEfNWVBkGFXuDAGuQ7kdbEYvGJphrNDyKlB3h1oSuP6lejC45Kau0q9vxupuRbuWRQAuyvdNVG
uwu0dHRZE39NzHyD9BqaYtduNTn5kFWi29OgfjH4L31gn/EbfJCLfszbcB+WqeKm/XJXRNVDiPqN
bmZlT/0hCtJtSwkeZXXsoUXle4e9Yl5VAWqXY6LpFPAJ4fCXqoXzJYmXok+I/NHo6LQhO8jO+G52
ZbJOx9rcpDl/PHS5I7hQp1j17eB4+JhTdlmFxt8cmFmHyFCd2HJqwfgWBc3zGKqwqdSh4cNIgU0F
0g1p2XFKrG9xeiwgpSZwVQvifBrgJDfDQxikYmvW6gtKF95AAN8y4OWyIX4LkG4Q34OiEReNi4xh
pZeiR2XGS5uDKu2IoYAj1xgDG7ToLsonB7EPmywpAzbENAT9QqXON9LEUI811m2QeaeFlR/7gr+D
Lpdv6OjF7zXYfy/Xf7hc8TBT9DlcSv/7IugUz6L+/N0m6M8f+/2KdbTfdJSNqLxZ7vy5CcLYjF6B
SGXLYijDwoKi8o9dkM5P0C3wLw2rsrV0C3/sgpTfgNfjXKayU/hZCu//ZBe0FK5/tiVI52nk0VuZ
rIypAHi/3xe2I7rcIlXy3i96nbDFtCi3g1Hl2zpRzlrdOLsYIyTl37gywu5dDczgFBq59g+XIVaT
n/weKjJOwyIVBaHlD/2o5oSgjkTAzDhtUMQAfdAxLYrZNbtjFB30yq/MK4zJcxczqJsMwnHUMDgl
EXTeqtZuXWXBUkBd9TQjUJKLg5aMpRvbLQCbFiqkaR1KBUzE0CNdNNo7cFRbJWAqBDVWXsvd40BX
NhmDB7vBS/LmChHoMqTBXtWI64P2jIAKIXt4AduUrxIjvXWxBicfaIhupWItW90SadWPcLTYJ3gj
L7TubBb5KxG/NE15Q2ZARtjkJ6F2pfWEObCwnPlgG01rXyJzIDlPzPKG3JWVGE0e6FzZGEguJxWI
vdiYyNV7+1lK53tsZQ+V2eybcPRVzdoXEaFgJBzKVvUwjsYnQG5oX0fk2DqGKD1EsT/qwvY1VBqO
yMmGnPfmaLzDCvJt+ZXZ8KOFDTrEhEZe8b0ZKFsGBJ4yEgOoqtVKtfg1TEd1py71kK++iaz/Glea
6VOgKGsGex+qMwe7xlAjtNFa7ldpVwEonA+tMpygbzcoMKJsNSiqq03mA3rLXS3fI1wm2UUjpUUf
HrBgXzFFbLRhlfBpAerKismLzXVrDntki485Wh5Amzoi7oeqGD9QSuzGRv40AxGaStlZRUP5Qi+z
IQjkoFaQiXNc3XkgkIs5j99IWsST4z9aUbhiIGt7ZHr9OZSCl6AES2Zq97XFOT1a3aOiEa+mIHiC
0CH3CNdGAr478K7jPKyU1tA8JsluGmRrZ2xfEw1QmN5ivRpJCuCrWUXmY4zVAHhS8VVUNfrjKIe2
BNpFlSUvT9ovcstEMZAZtzC8bk1ySJTBheVIMqty0/Nnq67nS5IO6XM/54cm1e+Cse+39gQDDvzF
sCOJa2316cEiccasCjDJ6YvZBe+pJAC8XUrjsYE4TGyYtMCv5Dt1uW2kYd4Rrf6sK8Xgd6hr+iRC
Nm4d+7Fah6YBOVe76NNdbZcnS3ZcQPPsLvVJHHWnQaSGKKczo2s7BijTEiJzdbJmWjRHUAmN1Lej
ax8qR1QM7Id2cLFhEGCU4Ti4xjGlURiMz+VMSByj4GCOIfOR2J5KSn2qHKXmyYHZFJuaN7EQa+z4
zcjsTZVemUhiRVTu2AmieIGfjMdatnO/XwCeLaJNBhHPDAxdXQLOWYwW+ho132kCp3ivyMTAQygE
7baPVHT76vwY96qxRs3/KaYlImLXIC3TYG6qbSCVXyy12arq6BazbR1YfXqE232hbb0qQbI8TurF
gUG5ouK4AOfajanzCh54F3fGV5FSvle4F2U9XMFNzDdpVhB3JA9LsFWyEdZoI6xK7kO4Y+4cYHan
2vYK5Vrj2pMRUUJB4nOSpZ1dxidMxgMkNW1wy7rf6BMmCck0rkYd3FERM6Yqylu8SHBRrbmxETHt
aco3QfqKPplPMOp4VpqSUFf8341BVToKYGf1o4VaLCjaT92Ul36kdBGR0jYMzOnBGoZwPTqn0Wox
3ARke9c3WXIus1Z9ajPjVYVegCXmCLj5UzWlz+lk5du25H2QmTFJYI77yZutWL2fdOnesfl4cqXy
wOPv2w6CfYfZaFXpQl1FVp1A2hl2A+NyVdW2c11+aGm+LbrkMzr+GKRnsCvKCFNKwJNfVCWEvcp+
x8P8NBqwnNFme9UwbUjQKN1IJ58kX4q5Ril8e3Y+A1aAbNA4fP9amRkwW0w1kR5VoR1ZizUeT9gZ
u+EzyNs31oWVp0MvduW8+ZykFg9GrmAxAq7tBNdCsm/SYB/lvj3POKAw2ljTtqnTkyrC3Rzq71Uo
GSukcwQBx82RcCFfCoJT2g8brBIo6JC6r6Y6J+hMQqQV1SEmqjHw8GcdePR2rdKh69Ola11CpaD+
pKlIpBMG8AIlHSRBUSIIy+7lljKQ4eQdzdeWiRSxjOxLrdSrTQuJj7YTs74fmsHL6r0ZLYRXO/YF
9SYk2L1pfOq09DHIG5a92E2IorcG/GiCQ0gWwaaNgm1Zm+tSvEZNcc4d67mvld2YOes20w9wkv2h
LwlnLNCAQPPGtLeTYyj9KQS/1HqoggHBnA7g4wzh+nnKo9UwZL7DN93OlJcuay/q0PspNOqV5Wzj
NkjXLC38WYoARvf1zQzaz3VKkHyk01CZ9bONs9bIOkpjjb2lCii0Yzt4HGegbhjlCF6u76RZO00j
JxdGmhVj/0W1al2NMXovp0PYWx5Yu0s0fqAZOKMT3CSsvmpZI6dBVJ7GkrnLlAP1m4uO/SNWi69R
qF80sz1rZu3HaXijwfZkIHUro3Ze7GRcJ91HaygugITrEnXWGPXZqEYeQvHCI/JUgdq1slecWyC3
i9dQStZNmhw7ubvgJHA1YXC8BNGJLLjnWenvarTQFjn1HTF4Uwkuxchf83BxQkv6m2NVZ9paX4zT
idTvnDZcAyuo+LkGA46E+G7uXqLE8TJjZi2VfJnr4i3XpkMknewyQKigQhAV7OOj8tSYDVYH1tMJ
Av74AYGIxqEQDWudYxluGjoSV2/JJR/z7aCd5sTeDWp2kZ34vbd7T8twvOkB96dot2ivAZxXqyiV
TyJcfC5OdQz19K4ugJPN5n2X926E4BLe8KfoVGCjbh4TOmOtIke8Sc4lu1yFCTURHfGTFeMrk2bV
K8j7HJKrNa+LxWw1Dr7Im686uJMoTv2x4gOEo6aj0sMTmbElRs7bkNg0JmvTMp/qsX5jcxx4ra6D
yO+jJ6OSGheHO+rIJH8ccZ/eDbOjuOiLUSPIMoWNIPMDhpU7MExIaWvTlvlCoRtXNL6fwmT6ogbd
c9NnW1r8fGXp9VOdsvYfEryCtWfQq5mIQ8KRYma+9eQ8dBy8KYY/zcjvqxKcZtBsJwXyc08SLYLO
wXDcIRqPDjqIKBBkQHxkUU689V1bOfshh8vfgk1u9ujP12ZmueP9OEcb0Wxwrl+qQDRrSa3RNUQR
90fsSagNOq4iANQdgkDQH4+hpT6Hg3wfdzLngb2Nwxu527TSht/F+nUmbaKsu+Mo53e9cs01vkDN
4iR9lWSiKNmPgkKF1p28DWS60pke4xKqm1SNe+CDioun6cMpniKezUnA2FEIXKqFHzg0EmW1iVsU
RvBSMvtmkvtk6+1nELkrZCLd2gjkeGVTP3SS9Zy24PCn6gnqtjdX0q5TD44tEfvFkaVTkuKF2kNc
flDyW2+ghZ/0we2atHJWAdAnDuv8MZRhf9H1xyAM82OH7IrSspnZ0hfpqbTN/ItkROgvwpkMg0Cr
qSFrp30xhlQ8VS3CijnG3NRn7fRR4Aq4OolsI9DQ+q/9IFJPTx15axjAWonjDpjAdLbL+JA8BcOQ
v5hFFt3ZWm4e5CrEe8VhnyM9LdMnYTm2x4DEuZ97beGet9FrTjXsZ2Q4oJKSDMVry1DsE2AdnRvJ
KV43FMbQ/uIdMvjQt2pdfucl7S8AX+c3KWfZkhtTuw3kRHkQLBAQloTtxY6mei8XOIWg0NcP9HvU
xxRm46qHunkHHke7MbIdXcmpuFuSiPwQpcGP1OvhrpMmdWPVIXfcLI3rYFJsoAwS4QF5nznbTpTV
qRBJ6HHXlO5oOPNOcsrmpBZWsM/qrtk7ndUjrJFovcba4XNHdnRqdUtxC3U6CZRO1DPQ9B8EGWFP
ci1PX0rQF4ekNYNNCMTyoo+z+IQ6yTkn2oIsrjSeH7sJ8zc7AZQhZZoxrCiNk4vet8bNcJLoHirU
dNcACD0rA3qJXk/GSw09+jDpTz3UxMbu660ztyOEKEV/lHQdC2UBx/OTYUsQ57HrrvV5zEj0sLrz
EM8M/rgwX7F0WT4RNfaBWInxLann4toRInJFzdVcsk5Jdnk8wSc1HADLYYwNWdgdvGukcyF1PS6E
0kTRMSOpDlTFFXqSb50IfAGYTU6VFPoV3roF7pENiqtokfGsdWHkglfNXxMjU8/l2Gm+jlP7IM0Q
7c25YFibxVcxvo5Rh6IrMty+zaaLqk7cpGU+oeTmmzmB8mumfAvKEq18NX8xGJrS8TadsS6D/hZI
5qNdzBc8J5/MOPNRdO8igRVzRtejt7FPAMihihOMxwMjL8twJRkbgM6g0pi4f2XrZZCqXT8BEuoU
nWk0l5mafNbr1IOX5fZhuoEd7BVUbgvH2RhZprPOPduhLm+LoH4eVXFTC30Xy/Y50zugGbMbLfY0
0W379KzK9ZOitI6HG/aF9CgiFsKYijI3b73ePwborMvJBPu4cGajlEmttGNSfLHjsN+VSoUBl3W5
nxfkU6ezepnAowHCyRD1FZ5TRacqHhrwWRTlTUyQj6pv+rrdFI2krkuv6Z67CIOXaA5I2pgG2psw
Kz7Konn8y3zoJzsG7dsW4c+hi81WwyRXDGqMBkxAYej9/dDFxM6dtIYJ/j57ps2PD/PYjRfsNKCV
lWzay2ZRnUcRznecT9H9gIbvpiRNcqkxPw2rxix6tOyI8axvj0q6PDWENzhnY3mSouWZSpenq1qe
M+XbE7c8e2IO04eBwAVKZx7NbnlGAbKWp2l5boFRNU/Bt4d5ZA2y77JU2ocBz/q0PPX28vzDUQk9
ZPfViYQ/Zzt0AxEmQYhXNwnSaV0odXBVNUPdlMvZoiynDIzyYRcGnDxyG4zADwbtZhH6dYdMjvo8
jKL2QU5E8yCLJsfvbNb7cq7bSzjTjTnLSacGBmfecvqZyzloLCeiBCzkXV1OyXpq411EkrFTVhHR
Icth2i3nqkT2hJd/O2y7jNCbKbWj16KkzijlybnXk9TxIpQWT70W0TAMA8e3HA3moZqG6E53hPIl
cKTRywHVaWXCJf/tEhAdboVhuRma5Y4IlttCLPcGA/npAwZlB0CVW4V5jnhSlptG+nbp8NcUO0Ky
wEkvd5K93E7Nck8FVhbtxlEcxXKHRctthp3+kVxxNVzZczN/ZUh4sC3SxlaVqjRYAIlZtKeuLVcT
+5nnybAYauVgIj4NzggUZtKQ15UhA6iU76bXmb1YzTkFnMpaA2NAcbaarIBWgFFRLdXoXPZ887Ss
IgJEl3xTiuAL67UF+Ss3OuGjWphpbgit2TQk6NVrGLrLK7KYycmHtxuLe5q9C1+mIkK1KESGczIx
P9v4dA55wiGxNVHJYb9XdCoFGLoFFjy8GW+aXN71WoaDtWSNXW1w/FOX0C24HcstBl65aa+S1mKq
ZpBh1FfVfUS36Q+S/qkuGOV0ck8nMVNXznx9p4ytWDiNniMFtySpblkb5Z40JCTe4ksDmkP+ik3D
/k4T8ywh1zhpneN4Tak/Yg6kApJUDbhan3LCRqRbVmF2bw+mdLRZjXtc9M06kNP4ZiGEX5kgp4mc
MG+xktzsKo7gQjupX1iU2V0u70NNab2iJ958Y45EJTOWS9c9YpaYhZ+PDf8DnwjCxGrGsMrEjEXg
dETrK6+GnH984IvhQqN4MTpF7DFnaxuwpcDYa6Fuqymr10rvwHyY9a0dEaqWFQMqYbkyNgxTGavI
9eesk++oCzHtmyPUWGV4LMX4JNS8eBgQ619UO4u2OnstexUC/zhGsCrWWRqKbTtNGCElvJEaBuyN
TXYPsSt9s+lVnjVhM9cMiKBjRzdZ4Eqa16HorR2UuvglnotXAw4szq+y3maW3W6xTRO0OmcdX6sY
4EKej26toKhvS8xdixWLNDTmiyix9MV5nlNalDLt/NWoMASGGhXTFNHyR3YgnkTQ8hee6FqDpR9o
nP7Gzxm7kIgerl0MFI+IogGGtEaAyp6AJhAn8UkE1lelbPIbwtWZbwEHipQXX+liPlAY3YhMUNxR
ARqMDlw/l6JMXGHy2WVO9BX5prHKkoarvWryNVUBCsYpfpsm9WXIPslGcmohCMBLiN2psK6zIlD4
psWH2cz3kyJgC9pdwRanzTR4/Zbq0XTAK6nVfq3Bp6cTofHoCyLuhNDrhx7hzSMoN9i/lvJlBFzo
GVXyaNWZr9QcXBKqOzpjDAFseKMjMvnDZA3oMzSeL1ZdME4kygEG0ucepzZya/KA/LjtxQ57XeSH
Qzi/JPbSZIYa8AsCD/m5xoLlnLT9/BrEab4G2RO5FqkLrm4w9LLapPzMtlHbhZIpH6LBSXZZqzeX
QFjtlXzy4moE0gitW6N6UivLH5eKql9qq2qpsmCiZncLKGWtLzWYKrXWThqExIZxqc44cfVHeynZ
6qV46/jEv128/11j/f+tsRBO/e9rrFsdl139nVDkX2ssfuxfayz1N01TTQWwEkAmJiKIJ35XijjK
b+yOcDuR92UutibWVX9usgwQvWhL+BEbufNfNlkqHilHBvelLRgTGQHEf7DJAlL2wwqJcsrUscSy
HQPt6/yoFSmLlDgXXekQiiFe7+jiGXfbft7nQPid8cU2qZb7McrAm6XTdhbt+6iqz4ltv6Bcku+D
yq54yoavLZgAUiTyZRBigs+WcBiPbVU8pKXcHKw+pH6yoZnPPTv1uUruTIyWbEr6yKeW5CgNy7NV
pvD+SWuiNDZeBMUJ/IDpXtDS5SXCr6lA6B8ajVs4ib6aUwmbvHYGjK6SHi1Vr5GoGDixT/I5iYk0
NbSAVw37VwIWfGkWx5qcdXy0Q46BwgyvbDEc3OmG5MkVjbeiJQXUBo6FFmEDUaOleSTDxhpXpaUD
fQDj/xQ4zLbi9PMQ1Wyq2wzxVjvNJ8nSYaOPI4oPAb0n6hgTJqre3ecTuQR1qh9L1AnI/41uMweT
QJriSOmqUmIwHVY3IWhPDKX7UHBoN1NoekqtWXc6VjTXKSMvIn1iOzVGDv23Kk5WIuCMAH5/0xih
+iZlxz5q1HJdE+vkisGxdmmtlOQOhOZba06v9ehErkYJikmZLDPVyfhPhVa+daYjnQKzxzow0ILF
7ZCs58zQT3NadxsjF++J0g5bmmCLlNrE2Qyhxr4/UVQOX2EzKiXoLI1IhRycqmbqMKr3NtUXTncw
7OlYXZg+pi+amF50u4yILoDf0Sy3dd7IR325v0uhR+t5udNTLpW4sFPfEs6rs9z7Zs8/PtO2RZtB
AWLUUyCIpVLgn8p8uayjQ2xlNxYSN2upK+ylwiApK741AUZkvKpUnFh3CCSiJsFfRCDYUqfMqaN5
w1K7tBQxlpYEnsUs+tQl1TPfV+d9XGoeeal+ZlXAJlgqor5saAeDW0SpZIoxX8kUT8lSRfVLPcXi
Rl+NlFhZMS7phs29slRfBKuUKzPRmk3eifZJDqF5GqZ9309kCo/JFe4U31med5xF5Nw0PWOlldPL
zhZ9/LKs1dSq3uYYP3ZFwD6ISq0urzpIK08hv3BNmkl2cbCreGCaB/pspYQi1NWXsG36PSr92Cfk
DRJOFHGcOc12RujZodmPmC9jvTcYVNxj57e3VLVIJozmSQmb8SF3ckZUrNt98m0LvPXmI9etuk3j
Pn/KElQd/KlwYBgTqCk6M+QhnUTYuyh7L0jV6kj6RbifpwFhcEAwB7e1UavrLqjfBQEE65Cyl2kk
/ZeZ6+Mdg0Cs7IiAWAJ3mts25t5EAHCR66BZ24GB29gZcIUpuIKn0u4uhNWSeklgzJd2crikZwrl
wRKsZpeog3JW7oKU5IOOjmapgsSmlVl4yE3AzNqE45G2g00QXcmoX40W8SbsY/K6JNkEMCB1z1Pj
mI9d2Fl+ZU/BcyZbwMdkK9kYvZxsY6LOdolVTYeKHNJHJy6Z4woCTvBhzep9NivS2cnrmSIuS54h
rz0TOwNRiIi3sMHoUjbjtWx79b0vlf4+HsxhLcUN+BitN9FzjWLe25BYiOEs3+iOhvcefPjFKrVh
j7dp8OmdGD8EJeMGUmBBY4fPtk4EjlTbh0DKVaBxqzZkF0leJNr4SROuLVWHkfBmntxYS9Y5nEyi
FCPrsCQlXYc5KI+B0iaXiPBuV8jdsTPjfpvrbfWMDatbsZdj9VNNjN2mWl538f+wdya7kSRZlv2V
+oDWgM6iAvTK1AbSaMZ5cHKj4OCuk+g8y9f3UU/PisjI6sxKoHtRQC4CcEc4SaOZisiT9+491+Km
2C28nZnOnkbJy1DTou+jRN/NHvBqO4A5AzU6vayz4Y5ziE5lFTV7dN7xB7cgfWEp4zEGjbrTDhk1
lV32N0QVeNsg0CD8ymDYlnZ6QniX3zcA0e68zEQpljKeby1ufMgi1ptZEG1huFBRGygsLw3PGLY9
YVSEKwQordq8Pc3koiJ8xEcaFQppl3DYhVPvO4LIcit9Lk7EzGPZ9z9TO1jCKGNywuiWqbYJIjof
ucdihtEgVCO2lygnA6iMnk234lRcX4OtmG3H6SRDsAz2SzCymhXy710caXkmdtTO4K977iqHiqcP
Ix7IpiLsuX206+AHGIMV4Mbua3GjTqwd3OGbkRwIVHA50J8MPt69PREjzHTE2HhGdg/oYR01+9lz
jV9519hoMKROnovSP3gwvbc+Z0KJalm+MuXV+0bWX9XMA+V36nFschFm8zJtyYy71qOmL9EsIadd
9gSb2aa9aciwXT9p0gejvTNSzwcFW08vyy8mwR/UxW+jsCPeVCxlO4XUYSc6aLFIYdLjHMW3adK0
58CMJyyh9h0QFww2tCBC2ED2FmUDCUbEHYFZEqQkjXn7GDtxv9VdvEJi+uLCWbOsDXYhH+gSJjmg
at7HQnYwLskvJo4EJfUk4aSO9/XvcvenrPm/U+46q33+/17ubt+/2vf/eC+//uP6PX5v/+Piffyu
0j/KpH9Wvz+/yy+dtPPbSic1LctFuotkikL2l06aOtZySXqmInaDlaT9e/VrUjJ7UlKe/ZlRav5m
UkybMLyRgP0Uf/0Lxe+fZdKowXzBwEOyofFCzD81FDMk0VBoVIRfn9UIo9h3kz39NWSP7uEP79N/
0b20Vr/F783L9XenuLYsvFkIspGi/elnxSAfq5qxLYSpaj+KESRnc9HlYl9W3l7L5rUwyZGZXqSz
N4S+gUNnhonzTbHy7HS+mhWHOk//P3lVfyfcXl+VY69JHPzB9/l0/mijiuq0kn7RRLs6WXY9agzl
T3042WJvxe1O44QWRhH6iEADxMeSAMAlYkIY0Zj3SH+067t//ILsn+/5n96nwMbZRagHn8nfybsL
eikG7NFo1+khOdiZexmXnnvvSiu6mRO8yLVnqBtC7AeigHx9TKs1d097VNv56F7qpHwz2tK7Y3dQ
Vw5ulyvX5fwRJcShoeVMmd7E/Km4h4w9Y4eqPPsMW3OAbgHMNZADNn5sTGQ7p0P4kEhGIimzfr1t
mB+Utnc2GyhsNZ1Ct9xmyj3LfNgPSXqE9giq8l5HnHuxu3VJMvMCgOAmvLJBMgewj7EfHQglP3W+
fZFSazTtt6UwLg1ML3r8MMorn7bBhlbvsaZcs92LXMJdGV/GgRjLFshbWM/i0u2fo2m4ROYbKpCt
DkTKooPB08d3qBhSkV0rTh/SpMPAW3YFAycv6fETY8WN1CrWeyCk/AjIDxutg3AQiNpQ9PsmC2Cx
gVtAKILAmesFCqHBbc8jyKbO+TGLaUsrK1RqomJH7t5UYMhe/EAes8ILifq+tKCwD8w24UbtsWyG
0NguWjiBsQLZxXM0SAJ9G3BZrXfH58k0D2dQj5laT+NWeDOIVLpzzUcibuyyOZW636Qp4SSrEMOU
x9plZY7BzsyK0EgfcsTbRnu91GLvy+R9pIR33Q8IE29d91m2oD+Rv+SxvOkwB8rlNm3pV6MILwKx
T+mkxVE3XBMEXD8gqXiLcRydF4qMrRjyG4PO9b2t5wpYOo+W3UcMlwu3+oxJdgCwANwgLMY6Y+hb
qu/dAhDL1nH1Lp2Uusvx1kWDTj+1ouRSTO6DsAb7ySdKDZhDPLxizwAV4MiYlrgg9APvRPxc1HkZ
KrIYNxZAIeSDueUSz+0NxQOnMMMyvxPbvtVgnsppXoBa1P787rWLuihBCXP1aMb4nIx1enIG58Zr
O/+u1aO47+3ilwnw3z2hf3JIAv0Ht805xqHGH2xWyR82uL/zEJ3ev97z5I/n43/5Df5yVAaceja9
Ht/ysbZw/mFP+8+j0nMw9LCWXP6wMrt/9YkcAeIGOfJfXUNrc+mX4hnQN68OKI7pEPaDMUf8K32i
4KfT8veN2QBDJ1xh8t/fHhEurLPcyvvkQk2i2JP3IrHCYGOTYQCnd9yAN9RXwiiDw4Dy+Wj2njhW
dpAMYKTgvky1ZvmClCe3HTpA++zhm7nuZLA81xl+nLBEiVcj9yqIIE6nRt7j5u/uRI5CPxRZQXvY
EbpK4WjHsdECdrI4GxyT0rMjlzj+QGJj1Jcj/d9zZ3vOEQ/y9D5GS/lRJ7mHwdzN6kNVlKBmtEdX
n02zo4c9LSQFkIaDP8qp5LwcFrNHeUru9NhgJwChsSqVXHROtQXcJAv89I7MJMzGmW4bUn1YlkMg
5q2fDxDvWI/+qw2cE7MMKc7hPNr5GLaZVmpvkzm/bgqJ+dpkS+5sAHmSUSdpDNzPJSm2Gy9zxs/M
M+Yj5Gv3aA1xfO8ZpCODRLMfbC8bXsyo9W6JtSruiWnG6NG78oL7nj6M5lzuGFKL6DQyQEXMAqvO
iREa2f5kBHsOSq7JsT0kn3Ka+RwN1TFOg4Y2DhsygPRVbfjOj4mE6QfUGBqvaFHgkojr5lXbuQs8
ZYGXknRZ1IaFm8VPgLmI2xo4NG4TxgTXC6UTWNW5Ztw1xMt4yFWK4SiLx+lJWL7x3BDoxSY3CfMp
GCxaEdJHBLlLDWXeBj45DZk1NaDigoYs4B5F9mzG3S1XGYAqFUIgsSvqSF4R2NCfshJO2qZx2MxF
1hA97zJpbDe5VfZvhZsbKN/cofsOi3J+9MYKk23n9pHFFAkmikCGcqb5QP+I7oNS2166NDSarJM3
KBNUg0w7K+fQk6NLl8FQ8J0mLeZ0Q/5T5e4QphnOvnC1+F5ikXK3JDjjDwM/UesdnTfukYYssmrT
e239pgGYfTPXwY9PWnl5U3izRxQkygOcSpMix90rBSgV3th5CFOUebx/Izz30OEHzfi6l+TeA6zc
8u778beic6IfaVYLsB3KRrJMdjeEvGawPqmHzGJDfqo1Hpwi0jxSs9dXSFScpLolQ8s6DZJOJnEh
hHon09R9Ikied0ZbD+XWTAv+3tmdcbKMlBntOAzyza20zm77ZPRR786RB0NgKZ6aPna/Fk+nr3OM
WAvITkR2S5kWKqQf6O0z08jdcBVKX9aJwAyVZL4wYfhwId1yqkO6A4LaW+Eo42G/SBNVSKKX4Lsc
W5/zvZNcf4XyoPHNvbgzh6i7HP1xpWEAy3owlOw+ZOt1L1kGPRANjN57Q9dX2yKZGXrWrRzvEIt2
L+hbvE3rTdUVuYrNHoeX6e/mIFubnGM07gpbwnk0KoBAdl0q3ouiiuk1ZmONBrPLr0oL+PXOz3xM
B1nkVoTNxcgCSSDW2B9Al8LnmCqULN7obcZM+Du/q8ZPiUGwIT0LSVVIY7g/q1wt9z6X82BfRVUd
oTlc5sOqfD1YtTIv6XnD74aSbr22MtdfmJRo/9q9ucC0643zgI3gLNEhJ3RgXHE/FXX6MI4GM1sg
j9alOQFRcWl3AtuZxpsO51W/safSoMM2lN/WtK/dqKeEqMsoeuwHthw6wbEG0wTCcgNDCilcbyLi
1W6QvZXpVN1kiqRPmKASjvU8X9Kz018DPaQgXJKksg55XhHrTHOWz57iFD6si5ftlStO/irI7KVJ
5WAGCL2Z7G/28P6JT4cEexOazA2MVEbGik7S0fBmLGJT0DmSZNOsomVjDDlNOoeAMQhG1QeNFf+x
dwcewsYcGMQDVs7ekLPX3xg6oOpvmrZSVO1u7xHRogkRJ5Oey0ovWp3S0jTr5y6zsvzeDqoCbhHJ
8/DOTbfZOiTo2FdJtpjTduTt16i14GFs/HphgGAr7HBo4pbOuanxNJ7RVlP6TaT25tgybHndNkJ9
zEmc/EiMlijOzkwfY7uFXiwV0Xsb+nLBIYOom4QqrsQOlVhdk1gj0guXhlq8NSqEge7YgH5zlkgd
h2lEzu6NZMaEquqra9qtyBHoxsa4EaP5dqobYnQNWuWHsUjMS4tEU5pZg3JD9OIemRXYA08O5Ekv
tCvyp+leJYcRjdcwQ49MwLNwkehIGV2yut4NRcGFx2xcjLSNX2QIY/JyR1z91TSnwKEyNfBVFa/w
rq5E9+KoYDr2BhVHGMNlZW5KhgLzlQkmSIxP4siy8aoXeKiI8d2+uxB+cOg7haprsdSrCloAZn5B
/YAUkYl1KdUxcVYVpJW1TU4wWOSZG7Ydkp/p4h1a694J5jvbqiSA1VF/KU4DDuq0f1SlCq7Qhswh
xF7wnWXX35cRwfIuh8+BVpJzdKT/LloopnqQCviAQ8pk33VPzuw5F0HuCZauYnzT49n+3qQSLRgG
HXk7WJaD/2Aa5lCLoD5aUV/s/CUd0Gla1OVOmrbtdkozEnWcpj+VMThxOUb5WXls5Ks7A5CkNSO7
DNExGXTNQKPlsOYN69Bla+azTpv8UqfEL3LBVUdIXA45R312pWXqXg3JwM2FwWP3DRECdByvDD79
JbJL2H1uc+MCqAcdaApmDD1BKW4dRfCoDPsL4Q/ENpT8gONwAjVKp+6uyIF1mF5fP5klNINp4OMH
KpV8KwjGI97czjWMNT82N5bIxHWZS/+TqZRn7lo5VVz++/qtbyVXyr7pHxub29UcW/Wt3/vzmWD6
hRtanjGV9zqxcyqRYIUzkSsQM+zAOwXZ+Ia5KQNkO6j5yXdTALreVMTfo6RJborIcE4kY4giVAWr
cDPVvcUBSrbf6+guYgcjIXgwXAe1ZGNG8atA8tkQLzHObwbhFG85d9QUsUs20wrN/EMS1AKnie8c
5TzlP3i97a2Iu+VD6gFzsa6XjvIsbVWN0DPoH+UyETeRdZOXbZ04DeyN7y3LXRC3wV5wW37WTE73
gviVd8m1mGtXR3Dipu+iqd9EbV+2Ia6p+MBHNZ2sOO7ZHdKovUtbh8FHRTZptunJ55Xs3nOv4Eck
bXoUmTFUh6FvScGs296Mt4GcfbVXVmJdQ2d1X1YTP269ziQZmInLaCFQCGL8tjYd/jQWukAlOa+M
ViIuGeVw4XfCwW64uRP83b5OwNezbZsmZhWmWkXn1LexZ3l40S95QqQGLJz27zHYWnszeYF1T3o6
738XDKTBIMocADQV6tl1k+YeADSpcC33oftsceV2tMY4NDAmXqWdF9xY82B+T3GZwHUliwv4qzeB
BRc2GtBNDibnAYlRmuwY7LLqprZLSrrlGkmDZXCFuSUJdiSokgY5wSp2VW1Bs9YkfaLswB3PUTGe
7bRDl8+nQHzKLCtx8C1Y5FCc6gaY5BToTSWV+yMrDOltS6JHnyQEzPc0MMyvIFDDgPJcc5Lnbdsj
QQUmTv9laHA7qiyrkXH3yWqGiX/YQD3ve/AF4SJrK91TY+oC9GCKP6dq74ag7LataNmiSuQy+4Wq
LcMJwCwE/SOUX3OA8+/7XfQup8a+N0tKjB1VrzTCtpCe2s1c21f5nzJ+oLvS1GhDeyk1v/hGj021
N6Jy3rXCYZm4nMtYF+bBAphoVu+ObGr7NhtjtcObhU2ntufbylT1Epbg2xEs1S0DCp4qO4yKJrmN
FEEMTh6gbET03RIq0KFeVKPd4OZw1vmX4FvGT1mKdWTDyLl+ricBB6uhV/SjUhiSAK4smArN3N+q
qGGunxnEEgwzH3I7Gxc9/acdXqs6xuRPBYj4lNlQjCZ8N2jGT7QYc2/jmXENLc9or/JZI9CbLa0v
jN6SPxZXRMuBiZWYz1aWGo+gHfkuQdKhTBJBzpWMO6d9IEEgOlY8058LweA9tYoV33NyIzB3EOhd
oXAqL+vepFOGKtA5mEaHPL1hXCc4Q3Zxazc7Uu1zbN+Z0JdulmQbpnnDTlbGuBmWbjjzot2jS9f5
G3UAaYi5LPc5ozKDRaMqTD+RpodGuDbyMiwdc5YPKBMGY9X0KbI9InJ+8VuZ6Z0wtdpZNQLmjRdI
78osbMopL492th99UKfKg8ma3AFS7HZMnuI3YgX7jwX1KzonukbbeLHzt7irxF2srW7ecDvIjoh+
1EEbRREucQ8Fc45uyYKyXkkgTu68tGVd2jMgg8j35mPQjNOFW6v4yvfrnPfdT5koosoKZ5F6hyo3
7Zem1YI9Kq38tUIvnH1imkxLhevi1u3jjGo2T80Pjy3mIqUsRSg6Z90Z+yG6uZEZ4tCO9DFtI836
bexodYkmmSLaLNLqsYqpeCnh/Fsf/d2Dqyvnksm9cQsQkNm7XxESHGf++AihlTERO6996cdkuoh5
TB5ZehGaXFuztUXALwNU4+wuwyiJ/4CLfl0uNajEKPFvyTX2EXkGAVIBEL752TOc4SIhteA6pYcH
fhWOxE2rmnjZembBxNwcxGVUxAuyxCHrHxYbXCyNy/FWGrH3ydq1bq2kld+bLun2SAuBlvv2wvTM
mFzrBZMvVb2VZ5de42dM4Uxm3+ZIL6Po2a/SYSDTfggKdF7lkBDFVBTkJjeYWxDGoqwDKhVBUb2C
+h3scsE32URGSVh0T+DgzlPO8NJy1CX8tEbtTROmWorQ5CGyMYb0hPhhfh1qu9vU6G4xekJuQJE7
nyvEa/AgqFy8kOl0+WgVFnm47pjdVq79Q3AZ5FRuSAbazoPRnxZ3Fs/r8bkDtRiU92p2p2efQ5nP
UjdVsMfp2n/Bcl3C/8XlXNVR6agLZ6EhCkNynreMH3HO6CXxbjRHyrBV6Dq68GfH7P91q/F/ECWb
GRk9dOcf8hHW+Zpi0PbH3uHvX/dLWeb9ZttIxKBbC9tGHW//tWEIOmHVnLm0KWlgC/OPjARCA20P
bJz07Z98IrqMvzqGtvebRWHEvJjuJmA9+1/qGMLj+duRFzLgwAFGCM97DSIU9qo8+wOjTwedbWJ7
KC6XFMhoKd5jAX2F6rm4ToD7n1KFxaI0iidujVAA8sE4NFjB32fXE+cs6Kh4sGBlnl9uknpCJ4O0
xy0DAssKuVWtRJY1pALlaL7Kitzxbmy9tZ4lx3qqB/XQJbmB6a9tMVi7mAqRPXX+eekYKwReuksE
nMJ+jO6G9c5H/sTOBLSyQQr0NCdRsG9HTBOi8E74ArlJwH7GbYHoubKRswZSn1VBDdZPPfdwtdCv
wJlH82baT90IXDsDd035j5trKJxtQ1eTU09sB3K1tpUE7Zy46LbkF8M2at7iVHDIL519nxbeVdVy
nNoDvt/K/uFZ6UzqS7QaMPNAH+ykfUh5b29AkjJK1EZ9YEd/AuO88Y3pNHi8mbKvqaoXfuXUya/d
sj80Bk0wTGZnh3YJ6J6qOKRz/4niR19Hzx2Di03XKLlPmuHoWom6xnr1TCW8Vc2wI0FxaQqX9lxQ
/uhdMNLSz/YWEIM58Dflkj02+MeSGtlJK3BCjzXKcw7oraGzC2MZ7gzbG3EcdvPTkGqPiLKCOtim
xZVXu2WNu5hFE2MgipOHsmiJGx1hviDoiDtX7eeZK0ZWFe6N58DxwbKpED9zlV4wiR6CnhwrBUTk
0gaO+ugU1b2TN7TvLAevTFYky4OpIs1ltevrQ29k8c3sgz33nuDr9Aed+eXt1JJi14/jmb7ATYJX
Nc/9l1gRvZdRWtEyAT8ztae47S4NbsRkyL5M8dReAQxfyKvho+quqSt/5CUtVFVzJZfOhSdqxe10
yXa9RXrbGJqUDpuG5m8YzZpBpt1cL4T6QdNk8sixTbg9+RfLSmfAbfxsE7TEFs95Nfvrz84uG9PY
cG8xn+yU/jEDQG9D68Du9pAssKgGk3VoIlDFnvXuRgb+GOorlcmzsybomgXevubW6QME09m2yint
dGK9jq3J16RVunMHwsmkX+7LKGr4vgteJqdojRudOOQSTZqEQGklh9IJiEd0GwIe2zztw27x/FvV
ODXHcbdcZW4bMJZqEgDaZXxlANS/xOIyXKosUi+ZE0toREOXnhKbFkaSxbDesdI9dmIGn1/2HQQC
c3ldcgiwwNqr28R3xkshSvWGGEU8aDfVIfVojnar9K8Sv5JXtUx9BmTTtO8ta7Xn6ZlUB7d41H06
P9JyHY6ZWRdPBVPUfTPaWKHaWrbvPcK0bWMl47U7Se8sPbc+MWKc7jCWO9eepYdjb7ZUWLRCEAhW
835mYH7VKD+/JHqFc6+tku9gkxi/dcXSftUFaNINnhR51sOUnrNaTicvUv2VigJOZwDitJ+C2byf
nLG5tjC7nYq8Sp4QMElwDl574lERJ8eYzBMDx55Tvk3xdRS1OECfV9eIDIh46fvlLlMkEvwTRcBf
2HC/z3lQG0sUyQ42Sx/UmUSs8Le7ds5UonKIBrwM4lhd125bjZdZN3bXIKwxyEVgv2uLtvpiW8MW
ICcU7zEgp2k24p3bD0/0ao29cpaGVZCtXoXO4tYZp+YeF0/HHSslTQ60PDVtFXu3fmlmVz31HIg1
d5M2Ut8ilEUYFAXqvMSKD6pJnrxorjYteoGLbh6LEAUxUdmL99i22N2GYSpuwKgDlJ6WIXqsJ5BQ
B+ktyPI7oZtyS5Qe3lcUVAgAfVEvh1InEaGiUHrmg1nESQZUzK1eDZrt6ZYxakVCpFU+OSIJXjs7
PgIJ03vDDu4HYRzKtC/DBf5KDSMybHpBpL2p/AMj/ZPh0GxZCosCcHDu67k/JXX7ELUiCOuK+Jdx
9o7EZNNaQsu543aRbxxj0KGYaJBYCcgS7Y5XUVudRMryT9MFi34X76cSFHg2tAz00eRumsmPP5PR
m47lOLlE86zpAwJ0XbVk9H2kpfYEfGf3NUHj23qIi+tBT+Igo4JHSQueKm365mmqV3LbkHWn1DPk
efDM5Ckh5eoUp35znaOfua8s37xNcgdTpkzH/orPej6Vtc9gxOzlGV0Xzzuite4LfPfoMqxzku+F
IoN6bqN5364rZVnXTLCuHvK/h92wrihFn+GYRLNznRvlfFc3aXNyzZLzOenG6xqx77b02+69oRcf
E+7tdvt8XcFyXctQwufHSOQlt0VWumdx+kCAmJC5sQ+k646waDxptUvq0diU63NAFwmchnoDlDJe
6nVf0esO4657jbfuOv26/+h1J0rXPUkatXmZB1ZKg89ny5r7tngBAQRLOQcuV/dTfKV6GCBj7wfv
mbKXqzoykFz7ubgl3JKNUfKvryhA/E9fBMlhJvce3kLq3/KvjZuhiclmxJu9S1NGJFCClhWkEbWA
1jotqVByZEvdnmRMZW1sT2TTns4Sln2QHn4RWrHTLheFmxTjdUnoXGh6DalwGsmo3toS0zGgABll
xxJVXf0CkZKetO3lNROnklHaRRW3Y3yy0R4gvexS+g1DH4wDwIJymVh2KVQfMzZA1QRJssRkD84N
PkZNMhUwcg+BUuuu6ry6zKpD0PTOjWOM9jmIZ+9uNmBRKekwf81c676Dzp6HhBkV5qHxabsyebKC
CaElrV3CQdGxj36DwEQCnd60QicG3Wl6Rqu2FJ+tYNv8xiw1dchJKi32FoaOkkfMaqxT6/T2fd43
vC9lc0c7QYc6y6BPdEsd9nZ5QYvKJH6jf+rHk0/PFlWmeRaBrM8u7THUHQZZs6mT0ByChkNToGDK
s8hNLeN5W1Q1iQ6uQP0/Zm91Lqf9kk2fVuk0YUBuUCAX+zYym+ma7oQd+l37kYoPsDXyuBBGy36z
2GiNOAacqnE3APAOjMVwSlr3GW53YhgCCDlTROaF8OFZtuZuaFxBo3z2L1QVFWGaOscoIEw2ZzRC
1KVzMjj/d6auPxWT6vUzgiOw1M6mTaZbjvMnbdXpD8+d6PQNmConVemrDL0zKFAU6FZA7HZmNcsP
vEM8g0Nc1Q7Mot7MSDBIAUn+f7nBndPPlgHEj/5/r3fDz6pe2hSez0993+9/+x93z3P/oaIyTLjk
pWgp/0Yl8peb3vqVv1SUPnRYEMoudtUAp87qFPolDfF/wziEjM5HwvcXTN5fpSHmb0LikqZm4RqG
jej3i55j/uYHYg0yQkPM/m39azA8fvjfSBtNloo0BacBZ4br/vmeNyS+KMwiWw7+1DZPRVOJbw1D
wHMArqVngNjOr2TEfkS51X5nxZRv09AtoT8mybBzuwlM+li1O8EJ9K21xuo4FjUxekGqvjwVDy//
fhj/W/Je5JS49s1/qFcCpPre92n3d8/j71/8S6vk/uauIlwvCNAY0TT4z9YDKiaQjZKuxJpBYP1s
SvxuarNMe30kTWl6hNbzWn61Hizxm1grz8B3Lb5UIEP+F3S9POd/eiR9csh4EAkTs6XDz1sf2T+0
HswoA+WdjTMhclVi7+E1tiGoQtJ0FuRKeAZqTVwsCXrkaoxxxO1diBXl487M0ZjX9W5IfKF9Kqef
SBfGjpuBhvoJsb96yNPJePRWaV88Qxb2izK5agtBUkzrgfXqMErvhFOD1Cq75Gt0AnqYclEBXO/E
SS4i5jzPOi4VgBtVMsW0SnfcJraPNWmKljt/JvwWdfxDPDhLqI0LVRRDsLHHwtsNjB6vkkBSXSEK
s/eQazgTiJfq+1AoIloPpT0112m14F0YlDYfIi9V35x5jh8quyq3vmlnH/hZ4vOiGhx+izHqj7iS
HpAMV8Ckw+042ROJeVZ+6WU23VYGAD4sCCunAFW4VeeuQ4Cr82xHhF++Ke35KgbLt7OKxKbd0Nok
8BKj6A4p5VTlWx9BGuCVKivipBi2pvkJOVT+MSGJmNFnKvkVV0b8ZGORWo3bElJSKtCjbWN7LLfM
IXE2OLm7MR3CdrIsto8ZHwBOxcoNez8br+aqJaKYS+tW2DNJQBrWM1OdksGXnptyl7g6d7YOWvDz
4E/Ze1q6xXfTjnBYgV2rDaZKI8YbUy4gyCTmRHTaiCwBNti8DyOqj9Av434TG86qNADNg2t5kiB9
SJRPuqjrwfWS94CZKa2YDwsSU1umPt8wFMGzQ0eYXDgdP8danHLc5u0UyBD8Ph3fxWvBlFQRg/EK
snN6wZVu+MIdhVzDYV4IdciQBzEwiASB5C9IVYaKwZoT5MyseKyfegYWt3mauafIH7rHpEyq99h0
mG74fdkwb495FEMRzPVnAwbntZPoN7bgWrh5yAyVkjX0Zb3RRG3khywr2wdLOPLWdS0j2up6kqcs
rxBjJU1D4EWZWHYo56C9wyk+P3euwVCJos74Di3Yw7djWe03yJ7Fh9/4FIXzwv+vbDk9dmXpABno
C6rbtscPfUHji476aCQlbksccpOy8Rn2iGdiBErP0p/qezRM+tKh1mLd5qSuY4kamXf7VGiQ/M0t
9KCZkHHTzj9iFtf6pRHFstsq1VwwhM7anTv6weXoUXUrNAVUwK6azZe4WcxvPo/cgvOz0uvNiA8w
GCpeNWFaxKE4DfGhndkS7szdYU2gJvudtKjvkbL1K0TtnQWDituP81mNEpG4mWfthyeYmSJ/cufX
eczKbTMkKI0JS3/E1VafksAhBsdz7WNZKFQ/HnOckLao2pGR1b3oTmCFjLseTVIwVSDHeyBnpkbQ
Qw+yDpl5MJLi6tkhV48uliWB8LHoXUXTKRwnBrnoPfCAN2250baInqWNVrrsue6jU5R+aFjIvDZL
39YNMcdFs0106aLV0KlphcU0F9XOxt1UoHxv0u+M5ZMnLZLkykQCGu8o8UFHGq49fTNYKNa+odc6
4O1vhtfCyRLy5Q3kIZs81SxtXXjNbb2kxbKHTYg3qND1zMC37tHmeGwsA6Ke66bJlwXhfUUAadF1
37rVZsdN+isvxgz7V8s+PSpFn0fmqzNqMDzmpLJ5Mns7O2ug1vgSknl8caO4PTEPSl4tGg+KLlih
d4ONnZEHlvI5LKhSkPKDS//sIAZcxAU40SZ16zAoqTo4SriixJlqvlwjptw3WmhAvHnTdGakE3Od
8+LF23ZWlnVEnw9BErokYAcAGxpfXCAySQI0qTHjGgjW3ffFhUodTtDiK43WIHbH4qIt2uYY+Sli
QN4p2m41SrptMam8P9id0yVw20BFuqnfQ63SJQ0TwLdM1CyykFGzD+S78dubbrfl0Wx+zNMScBuG
mmARDgG3R89sTlKVDwgVV8hFmgKcm5rmNRWd6XKjCYK7vm7t50VUEYuuye2TCc7oSbZj800Q1XcM
Mnj+0BF7AwN1HaN+6oPyxuf++NQs3LnZNnweHwHazdkvtQXyoEvH8yJ6xEvu7MbP0hpMSLEwGH6Y
jWkFV7zCxMHLC6cJFsUSvPYzHWgOKLs7s2694iJybfT/7eT5j+xN7WksiHmdosre4xUR2znCohnO
RgtPQxmpgaJKK2tvNFVKmzsSL0tmosfDk3uTE3dLZh4SHNQr6S0hCWWYaMu6zdiRuG8nzfMQm/lT
LZ16a8HjrE3hPPagd24R6uFPBX5/0fwf9s5kOW4sy7a/kpaDmkEGXPRWlmn2vO9IOhuxm8BcIom+
by6Ar38LLilTVDQVWSrLikHRYqIQBXeHAxfnnrP32maq3pVqrryKKAfVKNDPLgqdCSYGRIyHQWh4
d6nq20c7D+/yXFWOXk4yVwzFYqKxR/FRiWiZ+HDK27nEV4LXxAXOtAzVLBsAeGgMLQbyvzHTJLQD
uRISvUCukHm0GFufro8d06EacwlpFDt341M6dIkcPycBiAoFA301z1rSW3IrqQ9pAbKxkFb4DKPy
iQJ6XPet26+9kJ6Cjf705LUDrkVHxjcO+Mo1/shxAx0sW5XY/S2olEJZZrJ0FkMbAKBF5iOqC9tM
0+ck6Oi4O5ro8V4kMb2lrFKNbeIj4CZszzG2+F9QBo0YMjKlCrDEqNWymZyhqe0zZIlzBjFqbehr
gwUI3Una3Zk8Wq4Bz+rkJEiI0RAR8THmqqxPoxbJCySBXoS9tA7QdnvBpa924lY12uKoQXzsmJXS
usJLbd0irB7KeWJMgKFaF+sI1P3lMKp+s8+wfoQzVw2SCyuyk1MxuN5TO8TxTcP26K0qE1SMXANx
Ps+Dgqm0RgwmpOKhUsir9tssOYa9kcUzk5Y0z++UbXpVNyHwXiMfHsRo0iSIh+IYFxOd3qDLxAi6
1vSTRS4aDObID+4tow6qlXSdXLnsTQzrhh+NiLqk5631wAaFGYVkfW4R0tY53ILIeugU7kgIV92N
7ZfluolT7UqKQJTzxqwbsCToQjZWZvtrK02aJ3+I8+uKaYiL9agla7lUy70VxNyrI0Kegz3oEHLo
r3RzhW7jNQWsREPtdsFjoDX0whPZMcIGrK3fqVFfPoAeKo5uHeHFtqrx0mktiJQ8toj1NMuKb7Qi
3Zm85tR+yb9oBQIxXCoEM+zcIlORcrvMOyrZKEu7tq3PI8nQ2sKpjOHUACIa5jWBgEtjKLpPkUiY
lNEoaleScItNRKPyukMg3H75lLRCsjnDhu7J7ew7HcveTI7SfODmxG1fhllxdCaaQ1CmH804uYEI
iTQj8euDmwbYjVBpcwEaHW3b1ET9rwxFs8h0wRfveZb7UGj4UGcehgZ6K4aAjjrB5+8jyysPrpbn
N26eWzcAlYoLNi/JofaH5FHBjx7NrbR2PgPmDdaAKMxq3lu2eclArAN0mzT9sxMO6rDLe70bcHIR
LrQLMqEhhPf9Ad2MaX72Eh/AT6YyaMxAuiQzv7CRi6Pwci8ztPgbjSfXq6LV1qvve1W77MhahL4w
qk61sFK+65nZ6aFYi9wNP3ZuLVZKnkSPo6KMN6qbgoXqaL7ybAu6ey12gxuaUcll1rXjcQz15lU/
P3wrL6pnnPicGsL3boZgqD/1uVNf2Bmk5Ep2e630fWtGp9E6BXgx+qU0nICBqeeichYWrItuFPqV
E2MSU6UPTSsIByzFdTIB/9TMIMuxbaNx23dlzaJR5vifk1aYj6qvlcxxy6YGZB1W8KFVtfhsKCXU
3LwCP9RW+XWYyvIB2hpEoZK2ZgJ7/x5CNY2+fuj9rduhAF9pss/DeYpKG9aiMSrbGC3ORti4J+NK
H7QZcnpIhWySE6R0TXtAIJIW69hyGsJ/NUD2bAkIDa+k2BS9WsazxoMQq5kBdejQgQ0J2qwoFnox
YTQiiAQavUKQURlSll2aRhi+OiaxyUJ4Wn6sIcNtWgYhVDfwctemWkcbxyTwdwYgStxAZzI2UrOy
T04+ps/TLrvhFXQC71tDV27VtmqPYGerByAawzbW9JRSlQf+HKjJOC8YgfA3nUqJoYh8XyOkR9bp
Q0egk5l7aFnz6JTmSRUgew39K9z7fIQ4LoiIIfg8um7d9K1q8DlxuwCuhYxyxJYywRKSNp9Xo2nu
/aDXEN7DRAAV5bk3vYjGpeGMwsCo1lox5K6OgiSHTbCrQ9MRC2s0jIlwYBWbuinVeWdmocLWNIB+
mIgwNTdVU/PVUMarqTvsGWFUu4Yn0imMaXjiBvJqbwZgxq5nmWYzeGbU5XX0rZt+NcomIgKntoJu
VkV2x54tRtNPTue+FlBJKgCSL6mjWZCZerTelJFpsbQRXDpz5hDhFklX/YpvIb/wqzPoxvdciHr4
UlJz2lM0jpngtucpPlcdrboyWpqtqdV4G5QM2aaL7XqbtUNQrvws7e/RHQl1nUZWvlXKzkMl64RY
Oa0xuchcoxRbHRq9/4BYDuhcZ0sET//XzPpXmlm0dX7brP6xAXuN/e5HFc3XXhb/9msvS/ugGkTU
0R6zLJqhJsKcr81V+4NJ9qvAvU6TdfLWfeutah8MBC3oWgxsDK5lcLBvIhrnA38BFMmx9alTy7/6
FzpZlv1jJ0vTGdFqaHiQ+WD/UycH93edrMAbigoLhFj7kZkmaxuDNsR7YEdsWW3zVCMLv9bImkQL
GqtzPx7pfSAZtiicDRZFadryQGxGCFuHChkSfzkPio/tmC2yrmPuaMfmIrDKZGtTAn8KwrbZqlGo
o9FvfAWT2phxY4GzAGA7pE48d+wQ5lOCRD5ryvFK6AXBTqXRbKKs5V1YbItm4Gd7xDRyo2RF9cqU
CQ0F1SziyTREueNqzqXatOHBdwSaFxFRztptuUoFKAmjScNl3UQOdi8NekkwVvMSqPsa4qn7EkGb
S2fQ7VR8+p6xzodWvbXZ5VzFhVWuJ03TItX72MZ+IMcdMDexYC9Wr8RoZ4Ro4MMIZ4EA8Ue6Jkpk
P4nWqVNShfvdEEum0x0OH7N1rmUS+QurLHBPOUbxSU2T8tKIIRaN1nPjqhdYEiPWUYwFQ3LoOns/
msN1oBDchf/siBv6gkqjWvSG3az0KlwziK220Bx7GDCKlSQ0BdIC0HJP2GqAk+uuoWPKHC7pPHWB
8feaGNV9FaNeLJzUWHjsIOi/TNDcKd2IpcqtAOpnrchP1HQDMNLKe3ajHpvW6BRH9Hgs4qNQLALb
8S8i068ByynqBSZ62E9qo8O9dppJXzu1+qy0tzddDX2Olnv3sdNNS8NxacbprB+hVuqKdmAOoGxz
USqfa73xaMCZJJNzpZGQlUn7QSaW2GeCiAcG6szpyIYYltACwpeQwcBS5arc0HxC6JKbQbbGLJY9
dzBSrmxImbMEttCnqsifGkLMnlz00GtK4/gmpXY7spWw7vNQJrOCgd2Bab59YJLsI92wgkVV9wcv
7/3DZIVcVaWubFxVxmvQR+KaBzRbgB6pFPThmCvajKGRa3hQaWZh2egNOqVJTG4F6SbaYUDQgSdK
i+z7xqbintcuU7S8DIfbHlPjFuuSdqSIa42lbxbdSTexxHixZTDcrCMEYmPzLFNPHjz27huYE/pd
rTpKwIg8l8xHo+o5obSs5nE01uW86xWzvHTVGP++J1Pci4Ss1DM7jpVljD67XHrSIRShiXs0Cwov
k5mWPHaWld4bZNHiblT4Ksq4B8CC84tne9bpWN7o7cx1UFIYDWCnKKCDr1guGOXGoQgvo4CNi4M/
8SibsTl0YOGOPOlpzQkgs7fumGs7I25qtjSlln/GDu1fqQ1xbjOhRWLVVSVZCL2topbTbGUPEKdk
l6vJXONFs+hKgPO58LoxPtaVhAfnYVFtEo2UB8foN7YtbTY1iiyunUJ6V46N6iZI6ad0BREpsxrs
0wp2ARUhaJ7wICIP2HY+WActqPu9SnbJGkoIzhu1kBcBXdZns2BnTL1GJTIXw8cCMYc7Nyn+77Qq
FSS7j/nakyBpsSZVt2ZGIyo06C6HiRaukfZxb2EDicm0TuQ1HtX+ejBN/B1OXjXzwiUBmyV1CYBs
o5RqBZ6sC9BteerGjc1u19hKedQsNz2Gpm3el4olCVpR81eJLH6cgREQG290lFt7aMVVVwvzXvNK
PFpaIRG/EM8+gw0b7YEFcklnuv6WYa1c5Jos7s1c1RZK0Vf3YdAiCdDJBZwloM2XujYQy8AcGUpG
HKzUOpCg6P0aWHDFBllBt3Jr2Km3CgLMrzPQl8M2jzP94KfhuB5Sy1w7buMs8V6NC1+LiGCpWveR
Hby9KmvR3uCrnTI8JodKI+3HUJJbl/pVsGKmXl4KC3wCEskpBYT0Q0MT6TOSRffZddL02Fod5rte
YS82MjiIkT4s0w5LDBQqW2yp1MqlBtDUmJtJHOxias4dLZgSVoZTbY1RS48FKAfymcLPouodOvD1
rsD6u7Z5qpFO9FzoY4n7q7Vv/DJkbt4PWyew/bsySrrXrMbTB+q9XzcVanUAe6LUMHGN7BQRy5Mh
VBmIxZRBt/x5U+nFobCVyVQAXqpqc0ziTsUdqSIeMKOQFh/WXEN/rEDGm7TkL7S826Q+QYZ26F/Q
lqo2LNVLbWAzn0aAXVCp0AGptGqu9UlWYJVoAJhryPuTXaw3tUobDN1oELUZXPygJeOqiZJtAH6O
z6L52bLq0dUEVfXMOI2Vuc1t5AZS72nVqyA8qnoc2CeIcSlKaa4yN+1ucJWb6ZJpvruBDoVSCFUu
1XzvzmR0Y082fCy09ZFGTPGpINIEP5sopmFQuusLTg9qJpOmVqpzxRbGRVAXk5vco0tWZ8Nek5MJ
A9sGdMVxnZFw8cju9IWqncN6p6C3641MyTdyMlwh2CEaw5+XZu5tUbHk895Q9BssEKhLo1y9hVxK
kESlwJ8P7GzAsOqYrT7DI28smCxosPJCsiSJfXrrvcraaUD47rk/yoPtFO1GH0G8sf/NX9KGFDZH
FPauEcXInN0klSXIjtO0edLljku/S71bvoCUcyoc4j9j9ImOGIizrMvgUvNR1PCLOn33XlsX6pgf
SRRQD8DO00cJ2W/ZAaJX5+SNE+MiBTJfHLa07Fw4EW+poutzD14W7YvYQLuiVxiMfUeGS8SylrG2
sjDYZmRE0suJfWTHvUHaQ49jiiZyZhGP4Wb5DfVFmF0kvqKQkJmC6puxDMyDrVpro7MQZRnJK5y4
1Q6zVwLcRg9fU1YcoPiGJec4jmk961b4UWcfuowodyF3aRqayg79rICkwp9tfZN6QbjSIwEqLQ/V
JVhQOuKOCDc4NsSytRm50I27UpgxZehJeMF6W+V9vmghkeFtwiTUUFqwgY/9eVXL/kWGff8Ggv2F
/V/1bCfdySo6lY6Z4edX2CmsTTu2RFfZYTjPcl0ebL1CBVsQDzYaoiL7lDahXZPjIRMeT7Xa4tws
nTsxSsRwQsZLgah64ZHJsAgwL82SAjesmZjZKqjbcI+PS141mqesCXxUbmmVNfgPNQs4EWIyi+bw
C6McoEpV5a+zYNT5Gtr0LjRz6yLUHf+oYhwnJKhrVgrZRQScJNatb0+zhIxH5zwSYwRSoMEuKLCs
7wbF7la1TZOhQrP8SWPIvHSUwjumIf0ZDOH2vGKJQlAVmZdtHsZzJfFgw5WKj+tDR9EknYzQNRrz
5nJMECOZMe2+uQilvQw8NVhFje35VFdSIa82N/a2U3VLrepJJ+8t7dZr3GBZFTC4W0V4G3MwYjKJ
pHZPIy9HVFzrm9jq5DZMvPxo4/DWZi22aGYzqhI+4hJqNqWMixuV/LxFL+gMGGFmz0BVG/c86Nhx
W5XD7iC0xNKQTrwLtdTZ2B4BN61fZG9OFjsXVm0mH7s4S4G1ZeqyxKBAOhkwabccjJUdeeo26wpt
YcSey6NmwGxHNTD5WLL+UKvNNd2QFXUq6md7jJZOUj0oXr4opRFcdoPyhKoRT7SfI9LOgFNbDo7b
MGfTUlh2PS+E2u8KqEbLykMuPuuNUC7badrCJh5mBBcGHbW0SeSNGjNRUI3RXGCZ8vgEjGMASnr/
RQCyOGNQ/imbnbAu7/dpE2vsu32aArEwwgcdbJjzMSPTSQhSOtdmSOyEKwge+QLcn/KxdEV/52ia
+zg4XXElgtHfO4MonzwCGplVUuBDMRT+OmiH4q7X3XGlmkoJyDRmTlS5yjHrKjzuExgkpqCd4I6u
QSmheCJ8NIC5KhQ1GYErxB+vGQoYS/rXe8cJlc++lfsLXelz0hiTegPt8L4ta4CJTWEuPUSjj6Jt
EZ5poL1AsucLRMLctLFpXhpJDNwR+b25SEtnRPts289U6v7aFDjAadif8s48tk17SwAl6TYxoF6E
xhiuxmC47trsABt7PIS0UKjA4aczv61ox8aogKxV0lcjy7ZfmS+iKWlBKcY0GB1SisIltun8YRRp
QtxE6MQssYHVHTzbHrYBk3syk31hXed5DfsgGSNl1bMcICONxavZquFL4Y3dojAUewn+VdzkY4y0
D+bWbPQsXV3mQ2ftES4rG1MAxKyjMS/nwsGnAINY7V+7un+sg7FkiGmGK6NKk5XZ48sit4OJP0OD
mQ5o4MLDQtth86gae9aajKnavMPbp43h1RhnPKHp/e489q/HEKIpMbug7W+40d1tj095K3DZb0cG
FcCzhvqtCBpKwVTKHsC6NFE7UC/IuVMS7zTHU54TC0Wd3Z1L7uRcfoupEucpTFEOnqcGIFEKzGMR
rjlVknikT5U8sk/WJmeq77VzpQ/Rl+7rVP/DimkO7rQniKfdAdZPUkNxigJq9BXnqo6ktipyt75L
pw1Gdd5rWFRmLEbTFkQ/70baaWNCL00e0/NuxZs2LrIKeFhbUszJ3HGn9LBSWfoBvkn3vOVxztsf
DU9tsWlKu0dWaWm7vjLd5WAU5B9UMReuG2PJ9Ul9PTFhEIQj0goUWdccjb6K1oODr4dFjP3WWI63
BcrURaIUN4oIw02hcMJ0AHw3mGyMeR5SKStDjdInpxTe2T15H13AJs2ovIZ07ajFUedQhiF8JRw6
8FVMf6VpzluUdkfXkfZ9yXcwzNRpyxhPm0eIgewjUQDEF0Hc0Clgk2lgO5zL887TOu9C3WlDWmh6
vC6nTWo7bVdbzfIPJTvYYtrKYonia5+2t7zJaaPLlreaNr/4eLtJacT0btoam4rvPMECeOoZ0nyy
pg10O22lx2lTnU3ba7IN2GmP06Y7mLbf7rQRH8578mTanqfTRr2btuzNtHnvp218c97RI6f1IN2x
zQd/oGwjFunUQzHeYF9JZ+25MxBPTYJ2aheYU+NANK27+K5X9yvARAMF2TtVoWYI1TU0ixaqhsPe
+SFTvnYR/RBcoayHxjF2Gd3bRngOmToE6whBnY7yyzyqxiQ40FyUtyZJkutO2NpTjV45m1e57b8M
XSt3aWIMe8XR6iPZwO4jhUF+rzvFoQ2zGjW6OxYUT/IGCy6IU0CNMd9ppE+mnCHeAJTGf+s1EWNo
i2j1Xe34GeGoA+9Kd0VHZeWN2alCplzyzLHw/I7TQkZ0NmsatHHWt/G81hnndS+YlkB3Wgx//4Sd
jRm/fAJRTIupzQVU8/0TyK0YTeHVdNbog27HR/2xPCmP5Y28rK/xdmVXSnL5+69o/JA+PD3zNBVw
5oTxZKm0f3hFSYOF5njorZHYeJ+wQKN5B7c1XMZ9OIo5lXSxr4ayQeYOgfqTZo7NsjC8+G2EVUKm
1hB6qyySqO+ETUW9HD2dZ7jICzTSI6EIDzi2rDvLdnnUWVlO8FNsYAkHVDlUm77MywP2JBIPs7Hf
UsmwPtFOmaG1vwF34qw7yk+aDSkZ8gYEoKGW5d7JzfEZERipu9JLtl1pOmuieZWPaSirA1Ko+Jop
l78XCTyYPT374jZwrfFkwPsAPS97uYiAR9wbvj6tX6lI/s361Hfa6frvZy21/5pPaLp3f1ie++zX
7Ws13LzWhEh+61JPv/lH//Ivr/9Kt57L57e79buAjMrf6tXzL7/26u0PrgnTjrHiD0JoR8fyqhqG
oevvddC4WoVjO/wDAykCHhgqs2+9eu2Dy72CRNrGAWBCoPpXevU2sun3SxYoVaC0KLU5nGFak8P3
+xpQTdXI95QB5rdm0LYmRibPWJtIK1uSJtYSvGd61gO3qZos6soKuRvqGAYDQHdfWyC4MKZJdNnd
SlW6+sw2QRo1iZJeOH07zTeD5oZQe8LutFwC10xH1AdDEm6CNs/2vKGUeE/0ItJF5kj8lCP7g5Wr
1Z5cpyy8MhExAZa39CBkvxvZiFZtuxbLKMiTG3x35oBkaxiYL9qjLpZQuTOgTDZbplmO4hI9KShM
4niiyNmobmYSSdp50U3XmuWmZFsUL7Q+ewRv27vz1tOQMdYxd6xTe9PIW2/v7Noi9FEoEHdnMtW8
tTQLm2hXaSF1gxeir0zD6lDR6qWdr8JRGvmi7r3wMmw0ZhdgX4x04dvFqO6o1KYILXh2LLFO7IHC
wcmmboyR/eDSq4yQNdaSVj8Pg0x5Rnrq4jNJhvAAgis6lXQXDriTDXVW5bkd7nuBym7hJAPOrlS3
SXOFE0JAU955zqMv8/YpEbEkQ7tt8lcBgvMtMGw8o5TOQNPHcLjoJTYtuG9uXc7a2mXqC/s/3miK
kEdlVLrrSK/Sz3oaKBHdsACCB95G5bEujYEkF2LJ87VR1tYRpywdF2EQojYbITWB1QCAcpfrSUe9
0ahNRfKcVeSM1h3tzSpUdxolaMkTri7dW7UKHkJSHkcI9ZhEaCEUDAZwncT4QFpPcfdaWBQrrUCI
Kqp6EugpxTHo6GDpTU5MVOSol2WPHWwG1D2Vi8Q0gRSYaXFS66a/xAOjt9gyB1ImCjveKVUjlkRS
FYjsCkRpIbsaiADZsG4MWCa5qQ0rYnn7B3vw4Jn5mYsbJ67v+yIPHww3YnqkjxiBHHXKE/Ga8VbL
+/6I5YrA+QYRSay58irSWPWT2AzRfpbxRathVG45FuOwHoaDhp4Jd69DQyyDPVLzluRYieWghARz
0BCbFLbejpC8fCPSwF1lupUxkA/S+0pD/5c7+kdLZwiEzh3vlVvMym5PJcGVz8RqQJaGasrtTH1L
fl4xl63qLEInrPelB+uE0FE6zn6GtbBt+53eZJN6buzmpWox8bWIiSNzwuD8xwIwuoar9FoXHUKr
jO4X17q+LkQESC2geHtzpNFct14hyMs1tdvRl+M9IlusQLYz0GSKShvmZl9k9wk7igcjj4r7OG/a
N6bc0b2tmVsywwhziTl2pLKrnNeE2h0HGLBPpUjr6yw1tBO+MDOfl8J2bwVZp/MsSEJ1HqVscUiE
G0ih6iM9Wkp9oDXM9PEkx6gZZoVSGx+FKOkZdIRzVJIwvd6P7CtsHdZzREm/DFLTwwBu1fQjHRuN
ahFqW2rg5MWuPfpVeakK4gIVc7iK7AxdGcyq4k2EpXY/XQh3+miPb4EtJcgPqSYfR3oL10PaT0I7
QC190KTVnEmG5HMydF8kgMWfdJ3txLo1+sxcuEniXUJGbXcDa8SNx9jmFdIV/lEal8MDUJekmdUs
zRsdIC/GKd3T3wgHQ1eDCx7fcx0L6651M5TOLbvAOWkoPrWhn52syuDuZzNbkGRDHI0aWp1gPJCR
J605/YF9O2BDOHHjqi8a0sTxAs4MLHuoedmWMRFDt0BBtGIfgNiDwJ1qRze3JLYlYctDEGA7bhLU
xyW92KCdqlX4SdjjkKRbJjHgTiPqG18k5ToE5p/PurCtbwlsC5eWpZcMbvFZ6lbi3fiJYTzRM4t3
mTp6z4qsbzFP9ofIb0k2KNQhusaWGKdAkeJwhvpdoEPU/XZL1UoGiEa86VZDrn6wYqe5SMo4QIIK
ZfkqNnv3EsAEO7BoVFpORGKM19KqfbkRYdPcIqFJ7oLOJ/M8UuSy63x7z6hVvaadJnchheQhEcyl
wrhNUWORHbmM4969SrNh2HQ59lg2UXBeZUvE4wzCYqggJWwsZYW2IjTn2AZKvHuD+GgFdX7tlxHF
WtNZO6R96amvS/eEqJCUb1R/0Pp0vXrRmsZGVBmKu04LneVoZPbSKQMHT31VfPY9X54AelOs+7qJ
Oz5WmGaBYpLVBuobxtqwSRB1atkb0W1VTKfadgA9NGir2MUNC2GCKmLElR8iGes4+KczOuhknNrS
JHVkHGhUUPVfExGk4AxQnbRYkYvH89YpXKZ/qN2nICAzJTlddpJ5bkKDIEiFR2rf0L7pHXjnKy1u
2UbnjhFj6Ett5muhEdGUCIfrCsgAT/aqrq6z3E5dsgTdGrViZBN7R5P0gOCr5OHVWfFlXfc+3uA0
3wVmDf3OoBv8YiNsBA3DllCde7oe7jFPS3clRKd+tOwkvOeZTd4LYVgNsxQ379hjKuYelmixdi3T
/eiCHmWAWiE2dYi9zeaxaJV9Enqjug27OrsjaxP4DCovGHelohr7IBv0h7xQ4dQiityGNZSiGeww
7F9Tnd7ktrjpVUfsDDeIV16tku/o+Nhb81Eex6zmhLgsujPFbpoH0y3zt8DpxgdVVtYatGS2rSHW
LJiFZzeuVxoHuyK0cuJfWQ+NqKATNwABXQT4Bml3+CDoBhPseAniKn7IMc1hhuacrT06Lkglazc5
uEPrPLkjJpQ+tB5VIynWgxX3C6EYXM6+ARSjKow7BUztNkCXSR4O4ggGskggPzL/Iqq+wF65ZkKR
PGW+Ku8FS2cxi0RV7F1EvsugGUEQk8Hab0SfBDsrzNvtMCjO1Myx1p6nrMJWp3OlRBHhSqHsngcx
sRbD2LDmaFnjJ2eosrOMzNlUnupc6qh5BWNytXv1zJpUyz6aVxRGS7UICeTR61MWFs5GSi7/lv3/
HqraHXCWai3d7lazu+KhMpJq3RlVAxiqc1ixos5U171S56xNiZ/chlwmD2WvYldn5rvBnNOlS+Ag
IQR1t+t3SPbJaM/bovGXKC+NR7duhk+FzdyBGOyQuZRMiMrh8QORHZ9FQTIRxtBqrvoJ3V6+5pGk
zNasWbaL5CksLclJdJFZDoLH59qblNZj0MbH6Cy/dicldj4oytFCnI292T76k147PEu380nF3RoS
eMFZ2l1MKu9i0ns3k/I7mjTgEdbola8GyNzCTr+TxtbjlMNz8WZFWpsXdarSFFGlsZRpxZjEBb5r
Z0G6TTUVuTWaxGPtNMVCsbRLm0CmS4tSGdy/Kq+9SbIeT+J1xAjo2BuNZ+xMnvXtdintRTeJ3ttJ
/q4xfjn4ZcoMRKknkTwkx+aiGikWZxXbmXvAsxM07iyuF0OmAKagQETeXlnOQp+U+CVrHU+wwbwp
bCZXC72lSlxpZZZAeFYclzCZSdfPBNi9lNhJjr49yf4xOhBd3A09IUSTL6C2NOujk1jDgVh1bANG
1ln3tZWb1yx2TG3SUg2euIHVlT7IjBL6bD6YbAj2ZEgoYhObCO9TLOi1ODvBB39zrS5F+iJ9m+42
9eY2gwkJ2+tsekA1U5M/OXkh9HqyRaTAJDNWzUFTFm3N5H3mo/FHbMf4BhuY7+sYzmo7XKIdMAXq
RUM5TRjg24wEHtKkqNkXBXLAKzh77RMJYkMB52HILlrHZmDuWGBMSE9Hq2l06pVTW8lTTRejwTwW
RelVnQWqjkq1TMyFGRg4KYhK9XCzdL3EMZ4FTF36gjknd4SLm6ET7oMHl9WbdbaHWidGd0vPjXY7
CbuJQe4d7AgV/8WoPdQ13e51Y6nOHhal7Bk5+eHHXHHS4TrNK8j/TEyNt7piorYu6DAPK09tcGmj
xyEyh5lhHVw1usGWI0kIzqZpqY089Ejv5Vk13HDPkANOBms/b4KRWoPVfw/WeVO1abbvHd14YFky
b6ycx0EYAdrOuqG57QGw0MNPxgc5+raCySbswUbkET2eQE1QW5QWYNfznn9qStCE+Nr2oyvxvcH7
hz/+/S5P+e93TeD/a1bxrx/kV3skXz7H117LMQ+z5i7/RSPlD/3S962YXx7oDzdd6EWY+o/u8/Px
zm2f3ztOcmrCpn15/dtfceY6+LoJzkLjCLbD//r/bfeDqqJ/xF7unn++aDG/O0G/fOe/bDT9937n
9975l47U9uVvfxWEyf/spxfqB5O+AV0lLM3nn3cnwcEGjTDB0DE0n39QZ9Li+vefhM+QvJupk0ey
e/aOGTe1id913X7jAvjhCP+8AAQ5Egj5dGaHv3YKuA6QiAt0sF/OwCRQ/V85BaeXNESwRT5Z+Ll5
dwosRl9/7CT8cIx/ngTNALOASthgY3b+Qab7/c1gfdBoQxNahNl8+vly0v/918EPH+CfN4MBJIJ2
5B+5En44xncnwf1gmETOci/81klQHZdr4cs5cP98V8IZvGgQvfVT50E4H0jMRRuDWvzXLgb7A4Jt
BhGm9uVEfDnvf6KLgYgZ7cuX8+W5PD3OfmNZ+M2LQegfHJN8NnXCNpx/3t0RDo16NPMuPfl//PWf
a1mAj2n97EnQsA5oFivfBGT5fj1wwGPYqoBy8WdbDW0XaazOsPXnbgHxwYJ2rgHZ+NVbQPsAOk6d
LrMv3/6f7hZgRjrhdX7uJFgfznMeC4fI+Yez+v1FwB3CUghQ9es68KdbD3mmT86Vnz0Jrphm/t+e
/++fjOBgmKudC4gvV8K/8GT8AyvmP8ppHNfJy7naDl/r76aa/+UvfKu1f3mAr1XmVEpqVFHvfnGK
Cfty6C+P2OnPf3+3Vp6LwO/+8ltReH6dr//86wf85Uu/e61vn+rb/9yEr9Wp+kwg43n4+vVtXp5S
qvX/l70EJHQeq9PLax28q4JMa5qi/va89h9Xwe8ev65P6bfDnItsbVLC/exhZyHT32+HmQ6LcIKb
6WcPuzlVwyk7fTvQ+ZvEkMFi9NNHDtPT5+CU/OqZNlSdEuNnX2J3Auvzl/84pcV//mV/QgAbvjtD
1JpTlfmzr7I/VRlP//j9SfpSMf/0sblOkx8ObEyU6J898OEU18HpRb6+Ft8Odv5ubXcKMP3Zo1+c
XoLh1+8hjv8/cLVfvYS8/W9v9HwXfdmq/uw7P7Yv7efglRHSu4NbuqZ9+x/TyvO3v75bqb57APze
rX9ss+j06dtxzu8aWeD/wCV4c4pOdYP0492xvzyff/aM3IZxHL5bsHQVNNi3V/rvn427UxompCC/
tN+ONZ2RrzXlz77rs3P115aWrw/snz3+w2vd/OX/s3YtOQjCQPQqXKHxFzcmGhLjgh0XqKRBDEIC
stDT+yZQkkGQynRr8JW20+kbZjLvZAq0mGdv34YFUvRIw5nDYT0rZuNdBCpFPzd3oLMAv6e0YuyS
vTHhovrQLtFyY8GtrB+6aIWzs6S8Qjr7UlN7/9qCk/XgA4JSxEql8zgizzZ9PUGFBVWVPhxl9i4r
TgcAjVL/vYcbNkYyEb3m7GLQ+nTgHk7vXzrmQso0o+QgRI8oP9dwZtDKS3hYpsik4Dj6NdwFlJeu
PJDJ0OS3bLDBgKbvM9ITEPbnDXIrFq6zIRpC2d+WH+rZzq3CnXXpxSkcwqFDgnCE2apOIX5s4EXT
IcffKpv6kNqRq4CzcBrj/ijAvRFMWvIOnBFdfyEls1YbROCK+u7+nu9YvNlnK76jUJuuGfsbD7Hp
iSQ3ujp8AAAA//8=</cx:binary>
              </cx:geoCache>
            </cx:geography>
          </cx:layoutPr>
          <cx:valueColors>
            <cx:minColor>
              <a:srgbClr val="224FCE"/>
            </cx:minColor>
          </cx:valueColors>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a:endParaRPr>
        </a:p>
      </cx:txPr>
    </cx:legend>
  </cx:chart>
  <cx:spPr>
    <a:gradFill>
      <a:gsLst>
        <a:gs pos="0">
          <a:schemeClr val="tx2">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schemeClr val="accent3">
          <a:lumMod val="75000"/>
          <a:alpha val="40000"/>
        </a:scheme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microsoft.com/office/2014/relationships/chartEx" Target="../charts/chartEx2.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6349</xdr:colOff>
      <xdr:row>1</xdr:row>
      <xdr:rowOff>6350</xdr:rowOff>
    </xdr:from>
    <xdr:to>
      <xdr:col>12</xdr:col>
      <xdr:colOff>0</xdr:colOff>
      <xdr:row>7</xdr:row>
      <xdr:rowOff>101600</xdr:rowOff>
    </xdr:to>
    <xdr:graphicFrame macro="">
      <xdr:nvGraphicFramePr>
        <xdr:cNvPr id="2" name="Chart 1">
          <a:extLst>
            <a:ext uri="{FF2B5EF4-FFF2-40B4-BE49-F238E27FC236}">
              <a16:creationId xmlns:a16="http://schemas.microsoft.com/office/drawing/2014/main" id="{B379F5C7-B1B8-1379-F782-BA9A69C85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6350</xdr:colOff>
      <xdr:row>8</xdr:row>
      <xdr:rowOff>57150</xdr:rowOff>
    </xdr:from>
    <xdr:to>
      <xdr:col>11</xdr:col>
      <xdr:colOff>679450</xdr:colOff>
      <xdr:row>15</xdr:row>
      <xdr:rowOff>57150</xdr:rowOff>
    </xdr:to>
    <xdr:graphicFrame macro="">
      <xdr:nvGraphicFramePr>
        <xdr:cNvPr id="3" name="Chart 2">
          <a:extLst>
            <a:ext uri="{FF2B5EF4-FFF2-40B4-BE49-F238E27FC236}">
              <a16:creationId xmlns:a16="http://schemas.microsoft.com/office/drawing/2014/main" id="{6393C0C2-0CD3-6F4F-6D6B-ECCBBD9B89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xdr:colOff>
      <xdr:row>16</xdr:row>
      <xdr:rowOff>133350</xdr:rowOff>
    </xdr:from>
    <xdr:to>
      <xdr:col>12</xdr:col>
      <xdr:colOff>12700</xdr:colOff>
      <xdr:row>24</xdr:row>
      <xdr:rowOff>12700</xdr:rowOff>
    </xdr:to>
    <xdr:graphicFrame macro="">
      <xdr:nvGraphicFramePr>
        <xdr:cNvPr id="4" name="Chart 3">
          <a:extLst>
            <a:ext uri="{FF2B5EF4-FFF2-40B4-BE49-F238E27FC236}">
              <a16:creationId xmlns:a16="http://schemas.microsoft.com/office/drawing/2014/main" id="{FC2C93A5-6AAB-24EC-41DB-232E0256A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25400</xdr:colOff>
      <xdr:row>2</xdr:row>
      <xdr:rowOff>0</xdr:rowOff>
    </xdr:from>
    <xdr:to>
      <xdr:col>10</xdr:col>
      <xdr:colOff>330200</xdr:colOff>
      <xdr:row>16</xdr:row>
      <xdr:rowOff>165100</xdr:rowOff>
    </xdr:to>
    <xdr:graphicFrame macro="">
      <xdr:nvGraphicFramePr>
        <xdr:cNvPr id="2" name="Chart 1">
          <a:extLst>
            <a:ext uri="{FF2B5EF4-FFF2-40B4-BE49-F238E27FC236}">
              <a16:creationId xmlns:a16="http://schemas.microsoft.com/office/drawing/2014/main" id="{FA74D165-3E9C-B8BA-FC89-0F9B056003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xdr:colOff>
      <xdr:row>1</xdr:row>
      <xdr:rowOff>171450</xdr:rowOff>
    </xdr:from>
    <xdr:to>
      <xdr:col>12</xdr:col>
      <xdr:colOff>590550</xdr:colOff>
      <xdr:row>16</xdr:row>
      <xdr:rowOff>152400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EE59ACA2-59EC-4600-8B1E-063CD04CFF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60700" y="355600"/>
              <a:ext cx="484505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381000</xdr:colOff>
      <xdr:row>0</xdr:row>
      <xdr:rowOff>171450</xdr:rowOff>
    </xdr:from>
    <xdr:to>
      <xdr:col>13</xdr:col>
      <xdr:colOff>76200</xdr:colOff>
      <xdr:row>15</xdr:row>
      <xdr:rowOff>152400</xdr:rowOff>
    </xdr:to>
    <xdr:graphicFrame macro="">
      <xdr:nvGraphicFramePr>
        <xdr:cNvPr id="2" name="Chart 1">
          <a:extLst>
            <a:ext uri="{FF2B5EF4-FFF2-40B4-BE49-F238E27FC236}">
              <a16:creationId xmlns:a16="http://schemas.microsoft.com/office/drawing/2014/main" id="{28B4B206-0E6D-45AF-9827-A231BFAB8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546100</xdr:colOff>
      <xdr:row>0</xdr:row>
      <xdr:rowOff>165100</xdr:rowOff>
    </xdr:from>
    <xdr:to>
      <xdr:col>6</xdr:col>
      <xdr:colOff>57150</xdr:colOff>
      <xdr:row>17</xdr:row>
      <xdr:rowOff>158750</xdr:rowOff>
    </xdr:to>
    <mc:AlternateContent xmlns:mc="http://schemas.openxmlformats.org/markup-compatibility/2006" xmlns:a14="http://schemas.microsoft.com/office/drawing/2010/main">
      <mc:Choice Requires="a14">
        <xdr:graphicFrame macro="">
          <xdr:nvGraphicFramePr>
            <xdr:cNvPr id="2" name="State 1">
              <a:extLst>
                <a:ext uri="{FF2B5EF4-FFF2-40B4-BE49-F238E27FC236}">
                  <a16:creationId xmlns:a16="http://schemas.microsoft.com/office/drawing/2014/main" id="{36CCE737-A219-47FC-90BB-0B689AC573EC}"/>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374900" y="165100"/>
              <a:ext cx="1339850" cy="3124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57150</xdr:colOff>
      <xdr:row>2</xdr:row>
      <xdr:rowOff>165100</xdr:rowOff>
    </xdr:from>
    <xdr:to>
      <xdr:col>8</xdr:col>
      <xdr:colOff>120650</xdr:colOff>
      <xdr:row>15</xdr:row>
      <xdr:rowOff>50800</xdr:rowOff>
    </xdr:to>
    <mc:AlternateContent xmlns:mc="http://schemas.openxmlformats.org/markup-compatibility/2006" xmlns:a14="http://schemas.microsoft.com/office/drawing/2010/main">
      <mc:Choice Requires="a14">
        <xdr:graphicFrame macro="">
          <xdr:nvGraphicFramePr>
            <xdr:cNvPr id="3" name="Product Category 2">
              <a:extLst>
                <a:ext uri="{FF2B5EF4-FFF2-40B4-BE49-F238E27FC236}">
                  <a16:creationId xmlns:a16="http://schemas.microsoft.com/office/drawing/2014/main" id="{B88BD800-A3BD-4D93-98A5-FE9643446FC7}"/>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3714750" y="533400"/>
              <a:ext cx="1282700" cy="227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107950</xdr:colOff>
      <xdr:row>0</xdr:row>
      <xdr:rowOff>82550</xdr:rowOff>
    </xdr:from>
    <xdr:to>
      <xdr:col>18</xdr:col>
      <xdr:colOff>603250</xdr:colOff>
      <xdr:row>3</xdr:row>
      <xdr:rowOff>25400</xdr:rowOff>
    </xdr:to>
    <xdr:sp macro="" textlink="">
      <xdr:nvSpPr>
        <xdr:cNvPr id="3" name="Rectangle 2">
          <a:extLst>
            <a:ext uri="{FF2B5EF4-FFF2-40B4-BE49-F238E27FC236}">
              <a16:creationId xmlns:a16="http://schemas.microsoft.com/office/drawing/2014/main" id="{7A6A999F-7886-A93E-59D5-67D6B835A616}"/>
            </a:ext>
          </a:extLst>
        </xdr:cNvPr>
        <xdr:cNvSpPr/>
      </xdr:nvSpPr>
      <xdr:spPr>
        <a:xfrm>
          <a:off x="1936750" y="82550"/>
          <a:ext cx="9639300" cy="495300"/>
        </a:xfrm>
        <a:prstGeom prst="rect">
          <a:avLst/>
        </a:prstGeom>
        <a:solidFill>
          <a:schemeClr val="accent5"/>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3600"/>
            <a:t>Amazon Sales Dashboard</a:t>
          </a:r>
        </a:p>
      </xdr:txBody>
    </xdr:sp>
    <xdr:clientData/>
  </xdr:twoCellAnchor>
  <xdr:twoCellAnchor>
    <xdr:from>
      <xdr:col>3</xdr:col>
      <xdr:colOff>101600</xdr:colOff>
      <xdr:row>3</xdr:row>
      <xdr:rowOff>44450</xdr:rowOff>
    </xdr:from>
    <xdr:to>
      <xdr:col>8</xdr:col>
      <xdr:colOff>393700</xdr:colOff>
      <xdr:row>9</xdr:row>
      <xdr:rowOff>31750</xdr:rowOff>
    </xdr:to>
    <xdr:graphicFrame macro="">
      <xdr:nvGraphicFramePr>
        <xdr:cNvPr id="4" name="Chart 3">
          <a:extLst>
            <a:ext uri="{FF2B5EF4-FFF2-40B4-BE49-F238E27FC236}">
              <a16:creationId xmlns:a16="http://schemas.microsoft.com/office/drawing/2014/main" id="{CD53EA9C-0E2D-45FA-A44D-A88BC1272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406400</xdr:colOff>
      <xdr:row>3</xdr:row>
      <xdr:rowOff>50800</xdr:rowOff>
    </xdr:from>
    <xdr:to>
      <xdr:col>13</xdr:col>
      <xdr:colOff>476250</xdr:colOff>
      <xdr:row>9</xdr:row>
      <xdr:rowOff>31750</xdr:rowOff>
    </xdr:to>
    <xdr:graphicFrame macro="">
      <xdr:nvGraphicFramePr>
        <xdr:cNvPr id="5" name="Chart 4">
          <a:extLst>
            <a:ext uri="{FF2B5EF4-FFF2-40B4-BE49-F238E27FC236}">
              <a16:creationId xmlns:a16="http://schemas.microsoft.com/office/drawing/2014/main" id="{D29BC048-88B1-48E9-9361-8793FC42F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501650</xdr:colOff>
      <xdr:row>3</xdr:row>
      <xdr:rowOff>25400</xdr:rowOff>
    </xdr:from>
    <xdr:to>
      <xdr:col>18</xdr:col>
      <xdr:colOff>596900</xdr:colOff>
      <xdr:row>9</xdr:row>
      <xdr:rowOff>31750</xdr:rowOff>
    </xdr:to>
    <xdr:graphicFrame macro="">
      <xdr:nvGraphicFramePr>
        <xdr:cNvPr id="6" name="Chart 5">
          <a:extLst>
            <a:ext uri="{FF2B5EF4-FFF2-40B4-BE49-F238E27FC236}">
              <a16:creationId xmlns:a16="http://schemas.microsoft.com/office/drawing/2014/main" id="{14403323-0C52-4658-A3A1-2CD530106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88900</xdr:colOff>
      <xdr:row>9</xdr:row>
      <xdr:rowOff>69850</xdr:rowOff>
    </xdr:from>
    <xdr:to>
      <xdr:col>8</xdr:col>
      <xdr:colOff>393700</xdr:colOff>
      <xdr:row>20</xdr:row>
      <xdr:rowOff>177800</xdr:rowOff>
    </xdr:to>
    <xdr:graphicFrame macro="">
      <xdr:nvGraphicFramePr>
        <xdr:cNvPr id="2" name="Chart 1">
          <a:extLst>
            <a:ext uri="{FF2B5EF4-FFF2-40B4-BE49-F238E27FC236}">
              <a16:creationId xmlns:a16="http://schemas.microsoft.com/office/drawing/2014/main" id="{A5F16B78-E42B-4367-B399-043BE7D43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406401</xdr:colOff>
      <xdr:row>9</xdr:row>
      <xdr:rowOff>57150</xdr:rowOff>
    </xdr:from>
    <xdr:to>
      <xdr:col>13</xdr:col>
      <xdr:colOff>488951</xdr:colOff>
      <xdr:row>20</xdr:row>
      <xdr:rowOff>171450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4BAB6B59-3876-4602-8B86-4B2611895F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283201" y="1714500"/>
              <a:ext cx="3130550" cy="21399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514350</xdr:colOff>
      <xdr:row>9</xdr:row>
      <xdr:rowOff>57150</xdr:rowOff>
    </xdr:from>
    <xdr:to>
      <xdr:col>18</xdr:col>
      <xdr:colOff>596900</xdr:colOff>
      <xdr:row>21</xdr:row>
      <xdr:rowOff>0</xdr:rowOff>
    </xdr:to>
    <xdr:graphicFrame macro="">
      <xdr:nvGraphicFramePr>
        <xdr:cNvPr id="8" name="Chart 7">
          <a:extLst>
            <a:ext uri="{FF2B5EF4-FFF2-40B4-BE49-F238E27FC236}">
              <a16:creationId xmlns:a16="http://schemas.microsoft.com/office/drawing/2014/main" id="{1DAACEFB-1913-4EB7-A3D2-B2B4DDE31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1</xdr:rowOff>
    </xdr:from>
    <xdr:to>
      <xdr:col>3</xdr:col>
      <xdr:colOff>44450</xdr:colOff>
      <xdr:row>10</xdr:row>
      <xdr:rowOff>88900</xdr:rowOff>
    </xdr:to>
    <mc:AlternateContent xmlns:mc="http://schemas.openxmlformats.org/markup-compatibility/2006" xmlns:a14="http://schemas.microsoft.com/office/drawing/2010/main">
      <mc:Choice Requires="a14">
        <xdr:graphicFrame macro="">
          <xdr:nvGraphicFramePr>
            <xdr:cNvPr id="9" name="State">
              <a:extLst>
                <a:ext uri="{FF2B5EF4-FFF2-40B4-BE49-F238E27FC236}">
                  <a16:creationId xmlns:a16="http://schemas.microsoft.com/office/drawing/2014/main" id="{F5B84DB5-1477-4CD0-981E-11F86C77643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1"/>
              <a:ext cx="1873250" cy="1930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120650</xdr:rowOff>
    </xdr:from>
    <xdr:to>
      <xdr:col>3</xdr:col>
      <xdr:colOff>38100</xdr:colOff>
      <xdr:row>21</xdr:row>
      <xdr:rowOff>0</xdr:rowOff>
    </xdr:to>
    <mc:AlternateContent xmlns:mc="http://schemas.openxmlformats.org/markup-compatibility/2006" xmlns:a14="http://schemas.microsoft.com/office/drawing/2010/main">
      <mc:Choice Requires="a14">
        <xdr:graphicFrame macro="">
          <xdr:nvGraphicFramePr>
            <xdr:cNvPr id="10" name="Product Category 1">
              <a:extLst>
                <a:ext uri="{FF2B5EF4-FFF2-40B4-BE49-F238E27FC236}">
                  <a16:creationId xmlns:a16="http://schemas.microsoft.com/office/drawing/2014/main" id="{AD74828E-5BA9-47C4-9D8D-CC9775A75194}"/>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1962150"/>
              <a:ext cx="186690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c:userShapes xmlns:c="http://schemas.openxmlformats.org/drawingml/2006/chart">
  <cdr:relSizeAnchor xmlns:cdr="http://schemas.openxmlformats.org/drawingml/2006/chartDrawing">
    <cdr:from>
      <cdr:x>0</cdr:x>
      <cdr:y>0.00948</cdr:y>
    </cdr:from>
    <cdr:to>
      <cdr:x>0.13021</cdr:x>
      <cdr:y>0.24645</cdr:y>
    </cdr:to>
    <cdr:pic>
      <cdr:nvPicPr>
        <cdr:cNvPr id="3" name="Graphic 2" descr="Dollar with solid fill">
          <a:extLst xmlns:a="http://schemas.openxmlformats.org/drawingml/2006/main">
            <a:ext uri="{FF2B5EF4-FFF2-40B4-BE49-F238E27FC236}">
              <a16:creationId xmlns:a16="http://schemas.microsoft.com/office/drawing/2014/main" id="{17732328-080A-DC5C-87EC-19573BE0F1F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12700"/>
          <a:ext cx="317500" cy="31750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gram keshari Mohapatra" refreshedDate="46172.856342708335" createdVersion="8" refreshedVersion="8" minRefreshableVersion="3" recordCount="10" xr:uid="{3C724A59-2FA5-4CDF-88C8-C74583371D35}">
  <cacheSource type="worksheet">
    <worksheetSource name="Table1"/>
  </cacheSource>
  <cacheFields count="8">
    <cacheField name="Order ID" numFmtId="0">
      <sharedItems/>
    </cacheField>
    <cacheField name="Date of Sale" numFmtId="0">
      <sharedItems/>
    </cacheField>
    <cacheField name="State" numFmtId="0">
      <sharedItems count="10">
        <s v="Maharashtra"/>
        <s v="Karnataka"/>
        <s v="Delhi"/>
        <s v="Telangana"/>
        <s v="Tamil Nadu"/>
        <s v="Odisha"/>
        <s v="West Bengal"/>
        <s v="Gujarat"/>
        <s v="Rajasthan"/>
        <s v="Uttar Pradesh"/>
      </sharedItems>
    </cacheField>
    <cacheField name="City" numFmtId="0">
      <sharedItems count="10">
        <s v="Mumbai"/>
        <s v="Bangalore"/>
        <s v="New Delhi"/>
        <s v="Hyderabad"/>
        <s v="Chennai"/>
        <s v="Bhubaneswar"/>
        <s v="Kolkata"/>
        <s v="Ahmedabad"/>
        <s v="Jaipur"/>
        <s v="Lucknow"/>
      </sharedItems>
    </cacheField>
    <cacheField name="Product Category" numFmtId="0">
      <sharedItems count="7">
        <s v="Electronics"/>
        <s v="Clothing"/>
        <s v="Home &amp; Kitchen"/>
        <s v="Beauty"/>
        <s v="Grocery"/>
        <s v="Furniture"/>
        <s v="Books"/>
      </sharedItems>
    </cacheField>
    <cacheField name="Product Name" numFmtId="0">
      <sharedItems count="10">
        <s v="Smart Watch"/>
        <s v="Men T-Shirt"/>
        <s v="Mixer Grinder"/>
        <s v="Bluetooth Speaker"/>
        <s v="Skin Care Kit"/>
        <s v="Dry Fruits Pack"/>
        <s v="Headphones"/>
        <s v="Women Kurti"/>
        <s v="Office Chair"/>
        <s v="Competitive Exam Book"/>
      </sharedItems>
    </cacheField>
    <cacheField name="Units Sold" numFmtId="0">
      <sharedItems containsSemiMixedTypes="0" containsString="0" containsNumber="1" containsInteger="1" minValue="2" maxValue="20"/>
    </cacheField>
    <cacheField name="Sales Amount (₹)" numFmtId="164">
      <sharedItems containsSemiMixedTypes="0" containsString="0" containsNumber="1" containsInteger="1" minValue="7500" maxValue="25000"/>
    </cacheField>
  </cacheFields>
  <extLst>
    <ext xmlns:x14="http://schemas.microsoft.com/office/spreadsheetml/2009/9/main" uri="{725AE2AE-9491-48be-B2B4-4EB974FC3084}">
      <x14:pivotCacheDefinition pivotCacheId="18169209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ORD1001"/>
    <s v="01-01-2025"/>
    <x v="0"/>
    <x v="0"/>
    <x v="0"/>
    <x v="0"/>
    <n v="5"/>
    <n v="25000"/>
  </r>
  <r>
    <s v="ORD1002"/>
    <s v="02-01-2025"/>
    <x v="1"/>
    <x v="1"/>
    <x v="1"/>
    <x v="1"/>
    <n v="10"/>
    <n v="8000"/>
  </r>
  <r>
    <s v="ORD1003"/>
    <s v="03-01-2025"/>
    <x v="2"/>
    <x v="2"/>
    <x v="2"/>
    <x v="2"/>
    <n v="3"/>
    <n v="12000"/>
  </r>
  <r>
    <s v="ORD1004"/>
    <s v="04-01-2025"/>
    <x v="3"/>
    <x v="3"/>
    <x v="0"/>
    <x v="3"/>
    <n v="7"/>
    <n v="14000"/>
  </r>
  <r>
    <s v="ORD1005"/>
    <s v="05-01-2025"/>
    <x v="4"/>
    <x v="4"/>
    <x v="3"/>
    <x v="4"/>
    <n v="6"/>
    <n v="9000"/>
  </r>
  <r>
    <s v="ORD1006"/>
    <s v="06-01-2025"/>
    <x v="5"/>
    <x v="5"/>
    <x v="4"/>
    <x v="5"/>
    <n v="15"/>
    <n v="7500"/>
  </r>
  <r>
    <s v="ORD1007"/>
    <s v="07-01-2025"/>
    <x v="6"/>
    <x v="6"/>
    <x v="0"/>
    <x v="6"/>
    <n v="8"/>
    <n v="16000"/>
  </r>
  <r>
    <s v="ORD1008"/>
    <s v="08-01-2025"/>
    <x v="7"/>
    <x v="7"/>
    <x v="1"/>
    <x v="7"/>
    <n v="12"/>
    <n v="14400"/>
  </r>
  <r>
    <s v="ORD1009"/>
    <s v="09-01-2025"/>
    <x v="8"/>
    <x v="8"/>
    <x v="5"/>
    <x v="8"/>
    <n v="2"/>
    <n v="18000"/>
  </r>
  <r>
    <s v="ORD1010"/>
    <s v="10-01-2025"/>
    <x v="9"/>
    <x v="9"/>
    <x v="6"/>
    <x v="9"/>
    <n v="20"/>
    <n v="1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79F842-312C-4D97-86F0-B842409A71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ity">
  <location ref="A3:B14" firstHeaderRow="1" firstDataRow="1" firstDataCol="1"/>
  <pivotFields count="8">
    <pivotField showAll="0"/>
    <pivotField showAll="0"/>
    <pivotField showAll="0">
      <items count="11">
        <item x="2"/>
        <item x="7"/>
        <item x="1"/>
        <item x="0"/>
        <item x="5"/>
        <item x="8"/>
        <item x="4"/>
        <item x="3"/>
        <item x="9"/>
        <item x="6"/>
        <item t="default"/>
      </items>
    </pivotField>
    <pivotField axis="axisRow" showAll="0">
      <items count="11">
        <item x="7"/>
        <item x="1"/>
        <item x="5"/>
        <item x="4"/>
        <item x="3"/>
        <item x="8"/>
        <item x="6"/>
        <item x="9"/>
        <item x="0"/>
        <item x="2"/>
        <item t="default"/>
      </items>
    </pivotField>
    <pivotField showAll="0"/>
    <pivotField showAll="0"/>
    <pivotField showAll="0"/>
    <pivotField dataField="1" numFmtId="164" showAll="0"/>
  </pivotFields>
  <rowFields count="1">
    <field x="3"/>
  </rowFields>
  <rowItems count="11">
    <i>
      <x/>
    </i>
    <i>
      <x v="1"/>
    </i>
    <i>
      <x v="2"/>
    </i>
    <i>
      <x v="3"/>
    </i>
    <i>
      <x v="4"/>
    </i>
    <i>
      <x v="5"/>
    </i>
    <i>
      <x v="6"/>
    </i>
    <i>
      <x v="7"/>
    </i>
    <i>
      <x v="8"/>
    </i>
    <i>
      <x v="9"/>
    </i>
    <i t="grand">
      <x/>
    </i>
  </rowItems>
  <colItems count="1">
    <i/>
  </colItems>
  <dataFields count="1">
    <dataField name="Sum of Sales Amount (₹)" fld="7" baseField="3" baseItem="0" numFmtId="164"/>
  </dataFields>
  <formats count="12">
    <format dxfId="30">
      <pivotArea collapsedLevelsAreSubtotals="1" fieldPosition="0">
        <references count="1">
          <reference field="3" count="0"/>
        </references>
      </pivotArea>
    </format>
    <format dxfId="29">
      <pivotArea field="3" type="button" dataOnly="0" labelOnly="1" outline="0" axis="axisRow" fieldPosition="0"/>
    </format>
    <format dxfId="28">
      <pivotArea dataOnly="0" labelOnly="1" fieldPosition="0">
        <references count="1">
          <reference field="3" count="0"/>
        </references>
      </pivotArea>
    </format>
    <format dxfId="27">
      <pivotArea dataOnly="0" labelOnly="1" outline="0" axis="axisValues" fieldPosition="0"/>
    </format>
    <format dxfId="26">
      <pivotArea collapsedLevelsAreSubtotals="1" fieldPosition="0">
        <references count="1">
          <reference field="3" count="0"/>
        </references>
      </pivotArea>
    </format>
    <format dxfId="25">
      <pivotArea field="3" type="button" dataOnly="0" labelOnly="1" outline="0" axis="axisRow" fieldPosition="0"/>
    </format>
    <format dxfId="24">
      <pivotArea dataOnly="0" labelOnly="1" fieldPosition="0">
        <references count="1">
          <reference field="3" count="0"/>
        </references>
      </pivotArea>
    </format>
    <format dxfId="23">
      <pivotArea dataOnly="0" labelOnly="1" outline="0" axis="axisValues" fieldPosition="0"/>
    </format>
    <format dxfId="22">
      <pivotArea grandRow="1" outline="0" collapsedLevelsAreSubtotals="1" fieldPosition="0"/>
    </format>
    <format dxfId="21">
      <pivotArea dataOnly="0" labelOnly="1" grandRow="1" outline="0" fieldPosition="0"/>
    </format>
    <format dxfId="20">
      <pivotArea collapsedLevelsAreSubtotals="1" fieldPosition="0">
        <references count="1">
          <reference field="3" count="1">
            <x v="8"/>
          </reference>
        </references>
      </pivotArea>
    </format>
    <format dxfId="19">
      <pivotArea dataOnly="0" labelOnly="1" fieldPosition="0">
        <references count="1">
          <reference field="3" count="1">
            <x v="8"/>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8"/>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23FFE4-94DF-45EE-9D3B-55350CDFC0F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Name">
  <location ref="A3:B14" firstHeaderRow="1" firstDataRow="1" firstDataCol="1"/>
  <pivotFields count="8">
    <pivotField showAll="0"/>
    <pivotField showAll="0"/>
    <pivotField showAll="0">
      <items count="11">
        <item x="2"/>
        <item x="7"/>
        <item x="1"/>
        <item x="0"/>
        <item x="5"/>
        <item x="8"/>
        <item x="4"/>
        <item x="3"/>
        <item x="9"/>
        <item x="6"/>
        <item t="default"/>
      </items>
    </pivotField>
    <pivotField showAll="0"/>
    <pivotField showAll="0">
      <items count="8">
        <item x="3"/>
        <item x="6"/>
        <item x="1"/>
        <item x="0"/>
        <item x="5"/>
        <item x="4"/>
        <item x="2"/>
        <item t="default"/>
      </items>
    </pivotField>
    <pivotField axis="axisRow" showAll="0" sortType="descending">
      <items count="11">
        <item x="7"/>
        <item x="0"/>
        <item x="4"/>
        <item x="8"/>
        <item x="2"/>
        <item x="1"/>
        <item x="6"/>
        <item x="5"/>
        <item x="9"/>
        <item x="3"/>
        <item t="default"/>
      </items>
      <autoSortScope>
        <pivotArea dataOnly="0" outline="0" fieldPosition="0">
          <references count="1">
            <reference field="4294967294" count="1" selected="0">
              <x v="0"/>
            </reference>
          </references>
        </pivotArea>
      </autoSortScope>
    </pivotField>
    <pivotField dataField="1" showAll="0"/>
    <pivotField numFmtId="164" showAll="0"/>
  </pivotFields>
  <rowFields count="1">
    <field x="5"/>
  </rowFields>
  <rowItems count="11">
    <i>
      <x v="8"/>
    </i>
    <i>
      <x v="7"/>
    </i>
    <i>
      <x/>
    </i>
    <i>
      <x v="5"/>
    </i>
    <i>
      <x v="6"/>
    </i>
    <i>
      <x v="9"/>
    </i>
    <i>
      <x v="2"/>
    </i>
    <i>
      <x v="1"/>
    </i>
    <i>
      <x v="4"/>
    </i>
    <i>
      <x v="3"/>
    </i>
    <i t="grand">
      <x/>
    </i>
  </rowItems>
  <colItems count="1">
    <i/>
  </colItems>
  <dataFields count="1">
    <dataField name="Sum of Units Sold" fld="6" baseField="0" baseItem="0"/>
  </dataFields>
  <formats count="19">
    <format dxfId="18">
      <pivotArea collapsedLevelsAreSubtotals="1" fieldPosition="0">
        <references count="1">
          <reference field="5" count="9">
            <x v="1"/>
            <x v="2"/>
            <x v="3"/>
            <x v="4"/>
            <x v="5"/>
            <x v="6"/>
            <x v="7"/>
            <x v="8"/>
            <x v="9"/>
          </reference>
        </references>
      </pivotArea>
    </format>
    <format dxfId="17">
      <pivotArea field="5" type="button" dataOnly="0" labelOnly="1" outline="0" axis="axisRow" fieldPosition="0"/>
    </format>
    <format dxfId="16">
      <pivotArea dataOnly="0" labelOnly="1" fieldPosition="0">
        <references count="1">
          <reference field="5" count="9">
            <x v="1"/>
            <x v="2"/>
            <x v="3"/>
            <x v="4"/>
            <x v="5"/>
            <x v="6"/>
            <x v="7"/>
            <x v="8"/>
            <x v="9"/>
          </reference>
        </references>
      </pivotArea>
    </format>
    <format dxfId="15">
      <pivotArea dataOnly="0" labelOnly="1" outline="0" axis="axisValues" fieldPosition="0"/>
    </format>
    <format dxfId="14">
      <pivotArea collapsedLevelsAreSubtotals="1" fieldPosition="0">
        <references count="1">
          <reference field="5" count="9">
            <x v="1"/>
            <x v="2"/>
            <x v="3"/>
            <x v="4"/>
            <x v="5"/>
            <x v="6"/>
            <x v="7"/>
            <x v="8"/>
            <x v="9"/>
          </reference>
        </references>
      </pivotArea>
    </format>
    <format dxfId="13">
      <pivotArea dataOnly="0" labelOnly="1" fieldPosition="0">
        <references count="1">
          <reference field="5" count="9">
            <x v="1"/>
            <x v="2"/>
            <x v="3"/>
            <x v="4"/>
            <x v="5"/>
            <x v="6"/>
            <x v="7"/>
            <x v="8"/>
            <x v="9"/>
          </reference>
        </references>
      </pivotArea>
    </format>
    <format dxfId="12">
      <pivotArea collapsedLevelsAreSubtotals="1" fieldPosition="0">
        <references count="1">
          <reference field="5" count="9">
            <x v="1"/>
            <x v="2"/>
            <x v="3"/>
            <x v="4"/>
            <x v="5"/>
            <x v="6"/>
            <x v="7"/>
            <x v="8"/>
            <x v="9"/>
          </reference>
        </references>
      </pivotArea>
    </format>
    <format dxfId="11">
      <pivotArea dataOnly="0" labelOnly="1" fieldPosition="0">
        <references count="1">
          <reference field="5" count="9">
            <x v="1"/>
            <x v="2"/>
            <x v="3"/>
            <x v="4"/>
            <x v="5"/>
            <x v="6"/>
            <x v="7"/>
            <x v="8"/>
            <x v="9"/>
          </reference>
        </references>
      </pivotArea>
    </format>
    <format dxfId="10">
      <pivotArea collapsedLevelsAreSubtotals="1" fieldPosition="0">
        <references count="1">
          <reference field="5" count="1">
            <x v="0"/>
          </reference>
        </references>
      </pivotArea>
    </format>
    <format dxfId="9">
      <pivotArea dataOnly="0" labelOnly="1" fieldPosition="0">
        <references count="1">
          <reference field="5" count="1">
            <x v="0"/>
          </reference>
        </references>
      </pivotArea>
    </format>
    <format dxfId="8">
      <pivotArea grandRow="1" outline="0" collapsedLevelsAreSubtotals="1" fieldPosition="0"/>
    </format>
    <format dxfId="7">
      <pivotArea dataOnly="0" labelOnly="1" grandRow="1" outline="0" fieldPosition="0"/>
    </format>
    <format dxfId="6">
      <pivotArea type="all" dataOnly="0" outline="0" fieldPosition="0"/>
    </format>
    <format dxfId="5">
      <pivotArea outline="0" collapsedLevelsAreSubtotals="1" fieldPosition="0"/>
    </format>
    <format dxfId="4">
      <pivotArea dataOnly="0" labelOnly="1" grandRow="1" outline="0" fieldPosition="0"/>
    </format>
    <format dxfId="3">
      <pivotArea collapsedLevelsAreSubtotals="1" fieldPosition="0">
        <references count="1">
          <reference field="5" count="0"/>
        </references>
      </pivotArea>
    </format>
    <format dxfId="2">
      <pivotArea field="5" type="button" dataOnly="0" labelOnly="1" outline="0" axis="axisRow" fieldPosition="0"/>
    </format>
    <format dxfId="1">
      <pivotArea dataOnly="0" labelOnly="1" fieldPosition="0">
        <references count="1">
          <reference field="5" count="0"/>
        </references>
      </pivotArea>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0A90737-E9FB-4602-8D71-3891C4D023FF}" sourceName="Product Category">
  <pivotTables>
    <pivotTable tabId="6" name="PivotTable11"/>
  </pivotTables>
  <data>
    <tabular pivotCacheId="1816920993">
      <items count="7">
        <i x="3" s="1"/>
        <i x="6" s="1"/>
        <i x="1" s="1"/>
        <i x="0" s="1"/>
        <i x="5"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77E7836-42D4-4D3C-A551-F1143418BE6E}" sourceName="State">
  <pivotTables>
    <pivotTable tabId="6" name="PivotTable11"/>
    <pivotTable tabId="3" name="PivotTable3"/>
  </pivotTables>
  <data>
    <tabular pivotCacheId="1816920993">
      <items count="10">
        <i x="2" s="1"/>
        <i x="7" s="1"/>
        <i x="1" s="1"/>
        <i x="0" s="1"/>
        <i x="5" s="1"/>
        <i x="8" s="1"/>
        <i x="4" s="1"/>
        <i x="3" s="1"/>
        <i x="9"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2" xr10:uid="{D3A213A8-9F7D-4443-B9E8-04A2FC16F825}" cache="Slicer_Product_Category" caption="Product Category" rowHeight="241300"/>
  <slicer name="State 1" xr10:uid="{B2BDECD1-669A-4A51-B94C-71194F26BADA}" cache="Slicer_State" caption="St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584574F7-93AE-4258-B7FE-80FFAA5B137D}" cache="Slicer_Product_Category" caption="Product Category" startItem="1" rowHeight="241300"/>
  <slicer name="State" xr10:uid="{8E0BAAC8-7135-4E17-B817-88F77E02A826}" cache="Slicer_State" caption="St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0A6346-A9F7-4FE3-9708-C1327D820AA1}" name="Table1" displayName="Table1" ref="A1:H12" totalsRowCount="1" headerRowDxfId="51" dataDxfId="49" headerRowBorderDxfId="50" tableBorderDxfId="48" totalsRowBorderDxfId="47">
  <autoFilter ref="A1:H11" xr:uid="{760A6346-A9F7-4FE3-9708-C1327D820AA1}"/>
  <tableColumns count="8">
    <tableColumn id="1" xr3:uid="{A31A6978-10C8-4B30-8EAF-A3B83592BC1D}" name="Order ID" dataDxfId="46" totalsRowDxfId="45"/>
    <tableColumn id="2" xr3:uid="{2853CD89-2FD0-458B-A693-86F06D008117}" name="Date of Sale" dataDxfId="44" totalsRowDxfId="43"/>
    <tableColumn id="3" xr3:uid="{9A93D0AD-920A-4E86-BFD7-E067B85B2A86}" name="State" dataDxfId="42" totalsRowDxfId="41"/>
    <tableColumn id="4" xr3:uid="{590AF3C3-1975-4B66-AF05-797060FA726F}" name="City" totalsRowFunction="custom" dataDxfId="40" totalsRowDxfId="39">
      <totalsRowFormula>COUNTA(_xlfn.UNIQUE(Table1[City]))</totalsRowFormula>
    </tableColumn>
    <tableColumn id="5" xr3:uid="{7C47C2C7-19C8-4433-A7DD-F6BC8F33B6F6}" name="Product Category" dataDxfId="38" totalsRowDxfId="37"/>
    <tableColumn id="6" xr3:uid="{532B8AF5-CA02-4415-A4E0-ADD196D75150}" name="Product Name" dataDxfId="36" totalsRowDxfId="35"/>
    <tableColumn id="7" xr3:uid="{AD0BAA9C-87E5-4639-856A-8EEA6D2FCC9F}" name="Units Sold" totalsRowFunction="custom" dataDxfId="34" totalsRowDxfId="33">
      <totalsRowFormula>SUM(Table1[Units Sold])</totalsRowFormula>
    </tableColumn>
    <tableColumn id="8" xr3:uid="{0595CF65-E67C-4333-A81D-D1B3120FCED8}" name="Sales Amount (₹)" totalsRowFunction="custom" dataDxfId="32" totalsRowDxfId="31">
      <totalsRowFormula>SUM(Table1[Sales Amount (₹)])</totalsRow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79998168889431442"/>
    <pageSetUpPr fitToPage="1"/>
  </sheetPr>
  <dimension ref="A1:H12"/>
  <sheetViews>
    <sheetView tabSelected="1" workbookViewId="0">
      <selection activeCell="E18" sqref="E18"/>
    </sheetView>
  </sheetViews>
  <sheetFormatPr defaultRowHeight="14.5" x14ac:dyDescent="0.35"/>
  <cols>
    <col min="1" max="1" width="15" customWidth="1"/>
    <col min="2" max="2" width="15.36328125" bestFit="1" customWidth="1"/>
    <col min="3" max="3" width="12.26953125" bestFit="1" customWidth="1"/>
    <col min="4" max="4" width="18" customWidth="1"/>
    <col min="5" max="5" width="20" customWidth="1"/>
    <col min="6" max="6" width="25" customWidth="1"/>
    <col min="7" max="7" width="14.26953125" customWidth="1"/>
    <col min="8" max="8" width="18" customWidth="1"/>
  </cols>
  <sheetData>
    <row r="1" spans="1:8" x14ac:dyDescent="0.35">
      <c r="A1" s="7" t="s">
        <v>0</v>
      </c>
      <c r="B1" s="8" t="s">
        <v>1</v>
      </c>
      <c r="C1" s="8" t="s">
        <v>2</v>
      </c>
      <c r="D1" s="8" t="s">
        <v>3</v>
      </c>
      <c r="E1" s="8" t="s">
        <v>4</v>
      </c>
      <c r="F1" s="8" t="s">
        <v>5</v>
      </c>
      <c r="G1" s="8" t="s">
        <v>6</v>
      </c>
      <c r="H1" s="9" t="s">
        <v>7</v>
      </c>
    </row>
    <row r="2" spans="1:8" x14ac:dyDescent="0.35">
      <c r="A2" s="5" t="s">
        <v>8</v>
      </c>
      <c r="B2" s="3" t="s">
        <v>9</v>
      </c>
      <c r="C2" s="3" t="s">
        <v>10</v>
      </c>
      <c r="D2" s="3" t="s">
        <v>11</v>
      </c>
      <c r="E2" s="3" t="s">
        <v>12</v>
      </c>
      <c r="F2" s="3" t="s">
        <v>13</v>
      </c>
      <c r="G2" s="3">
        <v>5</v>
      </c>
      <c r="H2" s="6">
        <v>25000</v>
      </c>
    </row>
    <row r="3" spans="1:8" x14ac:dyDescent="0.35">
      <c r="A3" s="5" t="s">
        <v>14</v>
      </c>
      <c r="B3" s="3" t="s">
        <v>15</v>
      </c>
      <c r="C3" s="3" t="s">
        <v>16</v>
      </c>
      <c r="D3" s="3" t="s">
        <v>17</v>
      </c>
      <c r="E3" s="3" t="s">
        <v>18</v>
      </c>
      <c r="F3" s="3" t="s">
        <v>19</v>
      </c>
      <c r="G3" s="3">
        <v>10</v>
      </c>
      <c r="H3" s="6">
        <v>8000</v>
      </c>
    </row>
    <row r="4" spans="1:8" x14ac:dyDescent="0.35">
      <c r="A4" s="5" t="s">
        <v>20</v>
      </c>
      <c r="B4" s="3" t="s">
        <v>21</v>
      </c>
      <c r="C4" s="3" t="s">
        <v>22</v>
      </c>
      <c r="D4" s="3" t="s">
        <v>23</v>
      </c>
      <c r="E4" s="3" t="s">
        <v>24</v>
      </c>
      <c r="F4" s="3" t="s">
        <v>25</v>
      </c>
      <c r="G4" s="3">
        <v>3</v>
      </c>
      <c r="H4" s="6">
        <v>12000</v>
      </c>
    </row>
    <row r="5" spans="1:8" x14ac:dyDescent="0.35">
      <c r="A5" s="5" t="s">
        <v>26</v>
      </c>
      <c r="B5" s="3" t="s">
        <v>27</v>
      </c>
      <c r="C5" s="3" t="s">
        <v>28</v>
      </c>
      <c r="D5" s="3" t="s">
        <v>29</v>
      </c>
      <c r="E5" s="3" t="s">
        <v>12</v>
      </c>
      <c r="F5" s="3" t="s">
        <v>30</v>
      </c>
      <c r="G5" s="3">
        <v>7</v>
      </c>
      <c r="H5" s="6">
        <v>14000</v>
      </c>
    </row>
    <row r="6" spans="1:8" x14ac:dyDescent="0.35">
      <c r="A6" s="5" t="s">
        <v>31</v>
      </c>
      <c r="B6" s="3" t="s">
        <v>32</v>
      </c>
      <c r="C6" s="3" t="s">
        <v>33</v>
      </c>
      <c r="D6" s="3" t="s">
        <v>34</v>
      </c>
      <c r="E6" s="3" t="s">
        <v>35</v>
      </c>
      <c r="F6" s="3" t="s">
        <v>36</v>
      </c>
      <c r="G6" s="3">
        <v>6</v>
      </c>
      <c r="H6" s="6">
        <v>9000</v>
      </c>
    </row>
    <row r="7" spans="1:8" x14ac:dyDescent="0.35">
      <c r="A7" s="5" t="s">
        <v>37</v>
      </c>
      <c r="B7" s="3" t="s">
        <v>38</v>
      </c>
      <c r="C7" s="3" t="s">
        <v>39</v>
      </c>
      <c r="D7" s="3" t="s">
        <v>40</v>
      </c>
      <c r="E7" s="3" t="s">
        <v>41</v>
      </c>
      <c r="F7" s="3" t="s">
        <v>42</v>
      </c>
      <c r="G7" s="3">
        <v>15</v>
      </c>
      <c r="H7" s="6">
        <v>7500</v>
      </c>
    </row>
    <row r="8" spans="1:8" x14ac:dyDescent="0.35">
      <c r="A8" s="5" t="s">
        <v>43</v>
      </c>
      <c r="B8" s="3" t="s">
        <v>44</v>
      </c>
      <c r="C8" s="3" t="s">
        <v>45</v>
      </c>
      <c r="D8" s="3" t="s">
        <v>46</v>
      </c>
      <c r="E8" s="3" t="s">
        <v>12</v>
      </c>
      <c r="F8" s="3" t="s">
        <v>47</v>
      </c>
      <c r="G8" s="3">
        <v>8</v>
      </c>
      <c r="H8" s="6">
        <v>16000</v>
      </c>
    </row>
    <row r="9" spans="1:8" x14ac:dyDescent="0.35">
      <c r="A9" s="5" t="s">
        <v>48</v>
      </c>
      <c r="B9" s="3" t="s">
        <v>49</v>
      </c>
      <c r="C9" s="3" t="s">
        <v>50</v>
      </c>
      <c r="D9" s="3" t="s">
        <v>51</v>
      </c>
      <c r="E9" s="3" t="s">
        <v>18</v>
      </c>
      <c r="F9" s="3" t="s">
        <v>52</v>
      </c>
      <c r="G9" s="3">
        <v>12</v>
      </c>
      <c r="H9" s="6">
        <v>14400</v>
      </c>
    </row>
    <row r="10" spans="1:8" x14ac:dyDescent="0.35">
      <c r="A10" s="5" t="s">
        <v>53</v>
      </c>
      <c r="B10" s="3" t="s">
        <v>54</v>
      </c>
      <c r="C10" s="3" t="s">
        <v>55</v>
      </c>
      <c r="D10" s="3" t="s">
        <v>56</v>
      </c>
      <c r="E10" s="3" t="s">
        <v>57</v>
      </c>
      <c r="F10" s="3" t="s">
        <v>58</v>
      </c>
      <c r="G10" s="3">
        <v>2</v>
      </c>
      <c r="H10" s="6">
        <v>18000</v>
      </c>
    </row>
    <row r="11" spans="1:8" x14ac:dyDescent="0.35">
      <c r="A11" s="10" t="s">
        <v>59</v>
      </c>
      <c r="B11" s="11" t="s">
        <v>60</v>
      </c>
      <c r="C11" s="11" t="s">
        <v>61</v>
      </c>
      <c r="D11" s="11" t="s">
        <v>62</v>
      </c>
      <c r="E11" s="11" t="s">
        <v>63</v>
      </c>
      <c r="F11" s="11" t="s">
        <v>64</v>
      </c>
      <c r="G11" s="11">
        <v>20</v>
      </c>
      <c r="H11" s="12">
        <v>10000</v>
      </c>
    </row>
    <row r="12" spans="1:8" x14ac:dyDescent="0.35">
      <c r="A12" s="10"/>
      <c r="B12" s="11"/>
      <c r="C12" s="11"/>
      <c r="D12" s="11">
        <f>COUNTA(_xlfn.UNIQUE(Table1[City]))</f>
        <v>10</v>
      </c>
      <c r="E12" s="11"/>
      <c r="F12" s="11"/>
      <c r="G12" s="11">
        <f>SUM(Table1[Units Sold])</f>
        <v>88</v>
      </c>
      <c r="H12" s="12">
        <f>SUM(Table1[Sales Amount (₹)])</f>
        <v>133900</v>
      </c>
    </row>
  </sheetData>
  <pageMargins left="0.75" right="0.75" top="1" bottom="1" header="0.5" footer="0.5"/>
  <pageSetup scale="64"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63C59-960C-4BD6-9FFC-CCCDFA08EB08}">
  <sheetPr>
    <tabColor rgb="FFFFFF00"/>
    <pageSetUpPr fitToPage="1"/>
  </sheetPr>
  <dimension ref="A3:F20"/>
  <sheetViews>
    <sheetView workbookViewId="0">
      <selection activeCell="O9" sqref="O9"/>
    </sheetView>
  </sheetViews>
  <sheetFormatPr defaultRowHeight="14.5" x14ac:dyDescent="0.35"/>
  <cols>
    <col min="1" max="1" width="21.1796875" customWidth="1"/>
    <col min="2" max="2" width="13.26953125" customWidth="1"/>
    <col min="5" max="5" width="11.1796875" customWidth="1"/>
    <col min="6" max="6" width="13.26953125" bestFit="1" customWidth="1"/>
    <col min="12" max="12" width="9.81640625" customWidth="1"/>
  </cols>
  <sheetData>
    <row r="3" spans="1:6" ht="23.5" x14ac:dyDescent="0.55000000000000004">
      <c r="A3" s="30" t="s">
        <v>65</v>
      </c>
      <c r="B3" s="30"/>
    </row>
    <row r="4" spans="1:6" x14ac:dyDescent="0.35">
      <c r="A4" s="17" t="s">
        <v>66</v>
      </c>
      <c r="B4" s="18" t="s">
        <v>71</v>
      </c>
      <c r="E4" s="17" t="s">
        <v>69</v>
      </c>
      <c r="F4" s="18">
        <f>B5</f>
        <v>133900</v>
      </c>
    </row>
    <row r="5" spans="1:6" ht="15.5" x14ac:dyDescent="0.35">
      <c r="A5" s="17" t="s">
        <v>69</v>
      </c>
      <c r="B5" s="19">
        <f>Table1[[#Totals],[Sales Amount (₹)]]</f>
        <v>133900</v>
      </c>
      <c r="E5" s="17" t="s">
        <v>70</v>
      </c>
      <c r="F5" s="18">
        <v>165000</v>
      </c>
    </row>
    <row r="6" spans="1:6" ht="15.5" x14ac:dyDescent="0.35">
      <c r="A6" s="17" t="s">
        <v>70</v>
      </c>
      <c r="B6" s="19">
        <f>F5</f>
        <v>165000</v>
      </c>
      <c r="E6" s="17" t="s">
        <v>73</v>
      </c>
      <c r="F6" s="25">
        <f>F4/F5</f>
        <v>0.81151515151515152</v>
      </c>
    </row>
    <row r="7" spans="1:6" x14ac:dyDescent="0.35">
      <c r="A7" s="17" t="s">
        <v>69</v>
      </c>
      <c r="B7" s="20">
        <f>F6</f>
        <v>0.81151515151515152</v>
      </c>
      <c r="E7" s="1"/>
      <c r="F7" s="1"/>
    </row>
    <row r="8" spans="1:6" x14ac:dyDescent="0.35">
      <c r="A8" s="17" t="s">
        <v>70</v>
      </c>
      <c r="B8" s="20">
        <f>100%-B7</f>
        <v>0.18848484848484848</v>
      </c>
      <c r="E8" s="1"/>
      <c r="F8" s="1"/>
    </row>
    <row r="9" spans="1:6" x14ac:dyDescent="0.35">
      <c r="A9" s="1"/>
      <c r="B9" s="1"/>
      <c r="E9" s="1"/>
      <c r="F9" s="1"/>
    </row>
    <row r="10" spans="1:6" x14ac:dyDescent="0.35">
      <c r="A10" s="21" t="s">
        <v>67</v>
      </c>
      <c r="B10" s="21" t="s">
        <v>71</v>
      </c>
      <c r="E10" s="1"/>
      <c r="F10" s="1"/>
    </row>
    <row r="11" spans="1:6" x14ac:dyDescent="0.35">
      <c r="A11" s="21" t="s">
        <v>69</v>
      </c>
      <c r="B11" s="21">
        <f>Table1[[#Totals],[Units Sold]]</f>
        <v>88</v>
      </c>
      <c r="E11" s="22" t="s">
        <v>69</v>
      </c>
      <c r="F11" s="26">
        <f>B11</f>
        <v>88</v>
      </c>
    </row>
    <row r="12" spans="1:6" x14ac:dyDescent="0.35">
      <c r="A12" s="21" t="s">
        <v>70</v>
      </c>
      <c r="B12" s="21">
        <v>96</v>
      </c>
      <c r="E12" s="22" t="s">
        <v>70</v>
      </c>
      <c r="F12" s="26">
        <f>B12</f>
        <v>96</v>
      </c>
    </row>
    <row r="13" spans="1:6" x14ac:dyDescent="0.35">
      <c r="A13" s="21" t="s">
        <v>69</v>
      </c>
      <c r="B13" s="22">
        <f>F13</f>
        <v>0.91666666666666663</v>
      </c>
      <c r="E13" s="22" t="s">
        <v>73</v>
      </c>
      <c r="F13" s="22">
        <f>F11/F12</f>
        <v>0.91666666666666663</v>
      </c>
    </row>
    <row r="14" spans="1:6" x14ac:dyDescent="0.35">
      <c r="A14" s="21" t="s">
        <v>70</v>
      </c>
      <c r="B14" s="22">
        <f>100%-B13</f>
        <v>8.333333333333337E-2</v>
      </c>
    </row>
    <row r="15" spans="1:6" x14ac:dyDescent="0.35">
      <c r="E15" s="1"/>
      <c r="F15" s="1"/>
    </row>
    <row r="16" spans="1:6" x14ac:dyDescent="0.35">
      <c r="A16" s="23" t="s">
        <v>68</v>
      </c>
      <c r="B16" s="23" t="s">
        <v>72</v>
      </c>
      <c r="E16" s="1"/>
      <c r="F16" s="1"/>
    </row>
    <row r="17" spans="1:6" x14ac:dyDescent="0.35">
      <c r="A17" s="23" t="s">
        <v>69</v>
      </c>
      <c r="B17" s="23">
        <f>Table1[[#Totals],[City]]</f>
        <v>10</v>
      </c>
      <c r="C17" s="13"/>
      <c r="E17" s="23" t="s">
        <v>69</v>
      </c>
      <c r="F17" s="23">
        <f>B17</f>
        <v>10</v>
      </c>
    </row>
    <row r="18" spans="1:6" x14ac:dyDescent="0.35">
      <c r="A18" s="23" t="s">
        <v>70</v>
      </c>
      <c r="B18" s="23">
        <v>8</v>
      </c>
      <c r="E18" s="23" t="s">
        <v>70</v>
      </c>
      <c r="F18" s="23">
        <v>12</v>
      </c>
    </row>
    <row r="19" spans="1:6" x14ac:dyDescent="0.35">
      <c r="A19" s="23" t="s">
        <v>69</v>
      </c>
      <c r="B19" s="24">
        <f>F19</f>
        <v>0.83333333333333337</v>
      </c>
      <c r="E19" s="23" t="s">
        <v>73</v>
      </c>
      <c r="F19" s="27">
        <f>F17/F18</f>
        <v>0.83333333333333337</v>
      </c>
    </row>
    <row r="20" spans="1:6" x14ac:dyDescent="0.35">
      <c r="A20" s="23" t="s">
        <v>70</v>
      </c>
      <c r="B20" s="24">
        <f>100%-B19</f>
        <v>0.16666666666666663</v>
      </c>
    </row>
  </sheetData>
  <mergeCells count="1">
    <mergeCell ref="A3:B3"/>
  </mergeCells>
  <pageMargins left="0.7" right="0.7" top="0.75" bottom="0.75" header="0.3" footer="0.3"/>
  <pageSetup scale="6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9891C-143B-4373-ABFF-2981CEEB1C06}">
  <sheetPr>
    <tabColor theme="9" tint="0.39997558519241921"/>
    <pageSetUpPr fitToPage="1"/>
  </sheetPr>
  <dimension ref="A3:B14"/>
  <sheetViews>
    <sheetView workbookViewId="0">
      <selection activeCell="B17" sqref="B17"/>
    </sheetView>
  </sheetViews>
  <sheetFormatPr defaultRowHeight="14.5" x14ac:dyDescent="0.35"/>
  <cols>
    <col min="1" max="1" width="14.6328125" bestFit="1" customWidth="1"/>
    <col min="2" max="2" width="21.54296875" bestFit="1" customWidth="1"/>
  </cols>
  <sheetData>
    <row r="3" spans="1:2" x14ac:dyDescent="0.35">
      <c r="A3" s="14" t="s">
        <v>3</v>
      </c>
      <c r="B3" s="3" t="s">
        <v>75</v>
      </c>
    </row>
    <row r="4" spans="1:2" x14ac:dyDescent="0.35">
      <c r="A4" s="3" t="s">
        <v>51</v>
      </c>
      <c r="B4" s="4">
        <v>14400</v>
      </c>
    </row>
    <row r="5" spans="1:2" x14ac:dyDescent="0.35">
      <c r="A5" s="3" t="s">
        <v>17</v>
      </c>
      <c r="B5" s="4">
        <v>8000</v>
      </c>
    </row>
    <row r="6" spans="1:2" x14ac:dyDescent="0.35">
      <c r="A6" s="3" t="s">
        <v>40</v>
      </c>
      <c r="B6" s="4">
        <v>7500</v>
      </c>
    </row>
    <row r="7" spans="1:2" x14ac:dyDescent="0.35">
      <c r="A7" s="3" t="s">
        <v>34</v>
      </c>
      <c r="B7" s="4">
        <v>9000</v>
      </c>
    </row>
    <row r="8" spans="1:2" x14ac:dyDescent="0.35">
      <c r="A8" s="3" t="s">
        <v>29</v>
      </c>
      <c r="B8" s="4">
        <v>14000</v>
      </c>
    </row>
    <row r="9" spans="1:2" x14ac:dyDescent="0.35">
      <c r="A9" s="3" t="s">
        <v>56</v>
      </c>
      <c r="B9" s="4">
        <v>18000</v>
      </c>
    </row>
    <row r="10" spans="1:2" x14ac:dyDescent="0.35">
      <c r="A10" s="3" t="s">
        <v>46</v>
      </c>
      <c r="B10" s="4">
        <v>16000</v>
      </c>
    </row>
    <row r="11" spans="1:2" x14ac:dyDescent="0.35">
      <c r="A11" s="3" t="s">
        <v>62</v>
      </c>
      <c r="B11" s="4">
        <v>10000</v>
      </c>
    </row>
    <row r="12" spans="1:2" x14ac:dyDescent="0.35">
      <c r="A12" s="15" t="s">
        <v>11</v>
      </c>
      <c r="B12" s="16">
        <v>25000</v>
      </c>
    </row>
    <row r="13" spans="1:2" x14ac:dyDescent="0.35">
      <c r="A13" s="3" t="s">
        <v>23</v>
      </c>
      <c r="B13" s="4">
        <v>12000</v>
      </c>
    </row>
    <row r="14" spans="1:2" x14ac:dyDescent="0.35">
      <c r="A14" s="1" t="s">
        <v>74</v>
      </c>
      <c r="B14" s="2">
        <v>133900</v>
      </c>
    </row>
  </sheetData>
  <pageMargins left="0.7" right="0.7" top="0.75" bottom="0.75" header="0.3" footer="0.3"/>
  <pageSetup scale="78"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E7320-8674-45ED-84A2-91A21582EB7B}">
  <sheetPr>
    <tabColor theme="3" tint="0.79998168889431442"/>
    <pageSetUpPr fitToPage="1"/>
  </sheetPr>
  <dimension ref="A1"/>
  <sheetViews>
    <sheetView workbookViewId="0">
      <selection activeCell="N13" sqref="N13"/>
    </sheetView>
  </sheetViews>
  <sheetFormatPr defaultRowHeight="14.5" x14ac:dyDescent="0.35"/>
  <sheetData/>
  <pageMargins left="0.7" right="0.7" top="0.75" bottom="0.75" header="0.3" footer="0.3"/>
  <pageSetup scale="7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B6792-B647-4CD2-B122-F011FC1E30FE}">
  <sheetPr>
    <tabColor theme="5" tint="0.79998168889431442"/>
    <pageSetUpPr fitToPage="1"/>
  </sheetPr>
  <dimension ref="A3:B15"/>
  <sheetViews>
    <sheetView workbookViewId="0">
      <selection activeCell="F19" sqref="F19"/>
    </sheetView>
  </sheetViews>
  <sheetFormatPr defaultRowHeight="14.5" x14ac:dyDescent="0.35"/>
  <cols>
    <col min="1" max="1" width="20.6328125" bestFit="1" customWidth="1"/>
    <col min="2" max="2" width="15.54296875" bestFit="1" customWidth="1"/>
  </cols>
  <sheetData>
    <row r="3" spans="1:2" x14ac:dyDescent="0.35">
      <c r="A3" s="14" t="s">
        <v>5</v>
      </c>
      <c r="B3" s="3" t="s">
        <v>76</v>
      </c>
    </row>
    <row r="4" spans="1:2" x14ac:dyDescent="0.35">
      <c r="A4" s="3" t="s">
        <v>64</v>
      </c>
      <c r="B4" s="3">
        <v>20</v>
      </c>
    </row>
    <row r="5" spans="1:2" x14ac:dyDescent="0.35">
      <c r="A5" s="3" t="s">
        <v>42</v>
      </c>
      <c r="B5" s="3">
        <v>15</v>
      </c>
    </row>
    <row r="6" spans="1:2" x14ac:dyDescent="0.35">
      <c r="A6" s="3" t="s">
        <v>52</v>
      </c>
      <c r="B6" s="3">
        <v>12</v>
      </c>
    </row>
    <row r="7" spans="1:2" x14ac:dyDescent="0.35">
      <c r="A7" s="3" t="s">
        <v>19</v>
      </c>
      <c r="B7" s="3">
        <v>10</v>
      </c>
    </row>
    <row r="8" spans="1:2" x14ac:dyDescent="0.35">
      <c r="A8" s="3" t="s">
        <v>47</v>
      </c>
      <c r="B8" s="3">
        <v>8</v>
      </c>
    </row>
    <row r="9" spans="1:2" x14ac:dyDescent="0.35">
      <c r="A9" s="3" t="s">
        <v>30</v>
      </c>
      <c r="B9" s="3">
        <v>7</v>
      </c>
    </row>
    <row r="10" spans="1:2" x14ac:dyDescent="0.35">
      <c r="A10" s="3" t="s">
        <v>36</v>
      </c>
      <c r="B10" s="3">
        <v>6</v>
      </c>
    </row>
    <row r="11" spans="1:2" x14ac:dyDescent="0.35">
      <c r="A11" s="3" t="s">
        <v>13</v>
      </c>
      <c r="B11" s="3">
        <v>5</v>
      </c>
    </row>
    <row r="12" spans="1:2" x14ac:dyDescent="0.35">
      <c r="A12" s="3" t="s">
        <v>25</v>
      </c>
      <c r="B12" s="3">
        <v>3</v>
      </c>
    </row>
    <row r="13" spans="1:2" x14ac:dyDescent="0.35">
      <c r="A13" s="3" t="s">
        <v>58</v>
      </c>
      <c r="B13" s="3">
        <v>2</v>
      </c>
    </row>
    <row r="14" spans="1:2" x14ac:dyDescent="0.35">
      <c r="A14" s="1" t="s">
        <v>74</v>
      </c>
      <c r="B14" s="1">
        <v>88</v>
      </c>
    </row>
    <row r="15" spans="1:2" x14ac:dyDescent="0.35">
      <c r="A15" s="1"/>
      <c r="B15" s="1"/>
    </row>
  </sheetData>
  <pageMargins left="0.7" right="0.7" top="0.75" bottom="0.75" header="0.3" footer="0.3"/>
  <pageSetup scale="64"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BDC9A-BF97-4574-835B-73F5CD07D269}">
  <sheetPr>
    <tabColor theme="3" tint="0.39997558519241921"/>
  </sheetPr>
  <dimension ref="D1:I20"/>
  <sheetViews>
    <sheetView workbookViewId="0">
      <selection activeCell="J15" sqref="J15"/>
    </sheetView>
  </sheetViews>
  <sheetFormatPr defaultRowHeight="14.5" x14ac:dyDescent="0.35"/>
  <sheetData>
    <row r="1" spans="4:9" x14ac:dyDescent="0.35">
      <c r="D1" s="31"/>
      <c r="E1" s="31"/>
      <c r="F1" s="31"/>
      <c r="G1" s="31"/>
      <c r="H1" s="31"/>
      <c r="I1" s="31"/>
    </row>
    <row r="2" spans="4:9" x14ac:dyDescent="0.35">
      <c r="D2" s="31"/>
      <c r="E2" s="31"/>
      <c r="F2" s="31"/>
      <c r="G2" s="31"/>
      <c r="H2" s="31"/>
      <c r="I2" s="31"/>
    </row>
    <row r="3" spans="4:9" x14ac:dyDescent="0.35">
      <c r="D3" s="31"/>
      <c r="E3" s="31"/>
      <c r="F3" s="31"/>
      <c r="G3" s="31"/>
      <c r="H3" s="31"/>
      <c r="I3" s="31"/>
    </row>
    <row r="4" spans="4:9" x14ac:dyDescent="0.35">
      <c r="D4" s="31"/>
      <c r="E4" s="31"/>
      <c r="F4" s="31"/>
      <c r="G4" s="31"/>
      <c r="H4" s="31"/>
      <c r="I4" s="31"/>
    </row>
    <row r="5" spans="4:9" x14ac:dyDescent="0.35">
      <c r="D5" s="31"/>
      <c r="E5" s="31"/>
      <c r="F5" s="31"/>
      <c r="G5" s="31"/>
      <c r="H5" s="31"/>
      <c r="I5" s="31"/>
    </row>
    <row r="6" spans="4:9" x14ac:dyDescent="0.35">
      <c r="D6" s="31"/>
      <c r="E6" s="31"/>
      <c r="F6" s="31"/>
      <c r="G6" s="31"/>
      <c r="H6" s="31"/>
      <c r="I6" s="31"/>
    </row>
    <row r="7" spans="4:9" x14ac:dyDescent="0.35">
      <c r="D7" s="31"/>
      <c r="E7" s="31"/>
      <c r="F7" s="31"/>
      <c r="G7" s="31"/>
      <c r="H7" s="31"/>
      <c r="I7" s="31"/>
    </row>
    <row r="8" spans="4:9" x14ac:dyDescent="0.35">
      <c r="D8" s="31"/>
      <c r="E8" s="31"/>
      <c r="F8" s="31"/>
      <c r="G8" s="31"/>
      <c r="H8" s="31"/>
      <c r="I8" s="31"/>
    </row>
    <row r="9" spans="4:9" x14ac:dyDescent="0.35">
      <c r="D9" s="31"/>
      <c r="E9" s="31"/>
      <c r="F9" s="31"/>
      <c r="G9" s="31"/>
      <c r="H9" s="31"/>
      <c r="I9" s="31"/>
    </row>
    <row r="10" spans="4:9" x14ac:dyDescent="0.35">
      <c r="D10" s="31"/>
      <c r="E10" s="31"/>
      <c r="F10" s="31"/>
      <c r="G10" s="31"/>
      <c r="H10" s="31"/>
      <c r="I10" s="31"/>
    </row>
    <row r="11" spans="4:9" x14ac:dyDescent="0.35">
      <c r="D11" s="31"/>
      <c r="E11" s="31"/>
      <c r="F11" s="31"/>
      <c r="G11" s="31"/>
      <c r="H11" s="31"/>
      <c r="I11" s="31"/>
    </row>
    <row r="12" spans="4:9" x14ac:dyDescent="0.35">
      <c r="D12" s="31"/>
      <c r="E12" s="31"/>
      <c r="F12" s="31"/>
      <c r="G12" s="31"/>
      <c r="H12" s="31"/>
      <c r="I12" s="31"/>
    </row>
    <row r="13" spans="4:9" x14ac:dyDescent="0.35">
      <c r="D13" s="31"/>
      <c r="E13" s="31"/>
      <c r="F13" s="31"/>
      <c r="G13" s="31"/>
      <c r="H13" s="31"/>
      <c r="I13" s="31"/>
    </row>
    <row r="14" spans="4:9" x14ac:dyDescent="0.35">
      <c r="D14" s="31"/>
      <c r="E14" s="31"/>
      <c r="F14" s="31"/>
      <c r="G14" s="31"/>
      <c r="H14" s="31"/>
      <c r="I14" s="31"/>
    </row>
    <row r="15" spans="4:9" x14ac:dyDescent="0.35">
      <c r="D15" s="31"/>
      <c r="E15" s="31"/>
      <c r="F15" s="31"/>
      <c r="G15" s="31"/>
      <c r="H15" s="31"/>
      <c r="I15" s="31"/>
    </row>
    <row r="16" spans="4:9" x14ac:dyDescent="0.35">
      <c r="D16" s="31"/>
      <c r="E16" s="31"/>
      <c r="F16" s="31"/>
      <c r="G16" s="31"/>
      <c r="H16" s="31"/>
      <c r="I16" s="31"/>
    </row>
    <row r="17" spans="4:9" x14ac:dyDescent="0.35">
      <c r="D17" s="31"/>
      <c r="E17" s="31"/>
      <c r="F17" s="31"/>
      <c r="G17" s="31"/>
      <c r="H17" s="31"/>
      <c r="I17" s="31"/>
    </row>
    <row r="18" spans="4:9" x14ac:dyDescent="0.35">
      <c r="D18" s="31"/>
      <c r="E18" s="31"/>
      <c r="F18" s="31"/>
      <c r="G18" s="31"/>
      <c r="H18" s="31"/>
      <c r="I18" s="31"/>
    </row>
    <row r="19" spans="4:9" x14ac:dyDescent="0.35">
      <c r="D19" s="31"/>
      <c r="E19" s="31"/>
      <c r="F19" s="31"/>
      <c r="G19" s="31"/>
      <c r="H19" s="31"/>
      <c r="I19" s="31"/>
    </row>
    <row r="20" spans="4:9" x14ac:dyDescent="0.35">
      <c r="D20" s="31"/>
      <c r="E20" s="31"/>
      <c r="F20" s="31"/>
      <c r="G20" s="31"/>
      <c r="H20" s="31"/>
      <c r="I20" s="31"/>
    </row>
  </sheetData>
  <mergeCells count="1">
    <mergeCell ref="D1:I2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99A03-900E-4F6C-A87B-8108B17A2BDA}">
  <sheetPr>
    <tabColor theme="8" tint="0.39997558519241921"/>
    <pageSetUpPr fitToPage="1"/>
  </sheetPr>
  <dimension ref="A1:T26"/>
  <sheetViews>
    <sheetView workbookViewId="0">
      <selection sqref="A1:T21"/>
    </sheetView>
  </sheetViews>
  <sheetFormatPr defaultRowHeight="14.5" x14ac:dyDescent="0.35"/>
  <sheetData>
    <row r="1" spans="1:20" x14ac:dyDescent="0.35">
      <c r="A1" s="31"/>
      <c r="B1" s="31"/>
      <c r="C1" s="31"/>
      <c r="D1" s="31"/>
      <c r="E1" s="31"/>
      <c r="F1" s="31"/>
      <c r="G1" s="31"/>
      <c r="H1" s="31"/>
      <c r="I1" s="31"/>
      <c r="J1" s="31"/>
      <c r="K1" s="31"/>
      <c r="L1" s="31"/>
      <c r="M1" s="31"/>
      <c r="N1" s="31"/>
      <c r="O1" s="31"/>
      <c r="P1" s="31"/>
      <c r="Q1" s="31"/>
      <c r="R1" s="31"/>
      <c r="S1" s="31"/>
      <c r="T1" s="31"/>
    </row>
    <row r="2" spans="1:20" x14ac:dyDescent="0.35">
      <c r="A2" s="31"/>
      <c r="B2" s="31"/>
      <c r="C2" s="31"/>
      <c r="D2" s="31"/>
      <c r="E2" s="31"/>
      <c r="F2" s="31"/>
      <c r="G2" s="31"/>
      <c r="H2" s="31"/>
      <c r="I2" s="31"/>
      <c r="J2" s="31"/>
      <c r="K2" s="31"/>
      <c r="L2" s="31"/>
      <c r="M2" s="31"/>
      <c r="N2" s="31"/>
      <c r="O2" s="31"/>
      <c r="P2" s="31"/>
      <c r="Q2" s="31"/>
      <c r="R2" s="31"/>
      <c r="S2" s="31"/>
      <c r="T2" s="31"/>
    </row>
    <row r="3" spans="1:20" x14ac:dyDescent="0.35">
      <c r="A3" s="31"/>
      <c r="B3" s="31"/>
      <c r="C3" s="31"/>
      <c r="D3" s="31"/>
      <c r="E3" s="31"/>
      <c r="F3" s="31"/>
      <c r="G3" s="31"/>
      <c r="H3" s="31"/>
      <c r="I3" s="31"/>
      <c r="J3" s="31"/>
      <c r="K3" s="31"/>
      <c r="L3" s="31"/>
      <c r="M3" s="31"/>
      <c r="N3" s="31"/>
      <c r="O3" s="31"/>
      <c r="P3" s="31"/>
      <c r="Q3" s="31"/>
      <c r="R3" s="31"/>
      <c r="S3" s="31"/>
      <c r="T3" s="31"/>
    </row>
    <row r="4" spans="1:20" x14ac:dyDescent="0.35">
      <c r="A4" s="31"/>
      <c r="B4" s="31"/>
      <c r="C4" s="31"/>
      <c r="D4" s="31"/>
      <c r="E4" s="31"/>
      <c r="F4" s="31"/>
      <c r="G4" s="31"/>
      <c r="H4" s="31"/>
      <c r="I4" s="31"/>
      <c r="J4" s="31"/>
      <c r="K4" s="31"/>
      <c r="L4" s="31"/>
      <c r="M4" s="31"/>
      <c r="N4" s="31"/>
      <c r="O4" s="31"/>
      <c r="P4" s="31"/>
      <c r="Q4" s="31"/>
      <c r="R4" s="31"/>
      <c r="S4" s="31"/>
      <c r="T4" s="31"/>
    </row>
    <row r="5" spans="1:20" x14ac:dyDescent="0.35">
      <c r="A5" s="31"/>
      <c r="B5" s="31"/>
      <c r="C5" s="31"/>
      <c r="D5" s="31"/>
      <c r="E5" s="31"/>
      <c r="F5" s="31"/>
      <c r="G5" s="31"/>
      <c r="H5" s="31"/>
      <c r="I5" s="31"/>
      <c r="J5" s="31"/>
      <c r="K5" s="31"/>
      <c r="L5" s="31"/>
      <c r="M5" s="31"/>
      <c r="N5" s="31"/>
      <c r="O5" s="31"/>
      <c r="P5" s="31"/>
      <c r="Q5" s="31"/>
      <c r="R5" s="31"/>
      <c r="S5" s="31"/>
      <c r="T5" s="31"/>
    </row>
    <row r="6" spans="1:20" x14ac:dyDescent="0.35">
      <c r="A6" s="31"/>
      <c r="B6" s="31"/>
      <c r="C6" s="31"/>
      <c r="D6" s="31"/>
      <c r="E6" s="31"/>
      <c r="F6" s="31"/>
      <c r="G6" s="31"/>
      <c r="H6" s="31"/>
      <c r="I6" s="31"/>
      <c r="J6" s="31"/>
      <c r="K6" s="31"/>
      <c r="L6" s="31"/>
      <c r="M6" s="31"/>
      <c r="N6" s="31"/>
      <c r="O6" s="31"/>
      <c r="P6" s="31"/>
      <c r="Q6" s="31"/>
      <c r="R6" s="31"/>
      <c r="S6" s="31"/>
      <c r="T6" s="31"/>
    </row>
    <row r="7" spans="1:20" x14ac:dyDescent="0.35">
      <c r="A7" s="31"/>
      <c r="B7" s="31"/>
      <c r="C7" s="31"/>
      <c r="D7" s="31"/>
      <c r="E7" s="31"/>
      <c r="F7" s="31"/>
      <c r="G7" s="31"/>
      <c r="H7" s="31"/>
      <c r="I7" s="31"/>
      <c r="J7" s="31"/>
      <c r="K7" s="31"/>
      <c r="L7" s="31"/>
      <c r="M7" s="31"/>
      <c r="N7" s="31"/>
      <c r="O7" s="31"/>
      <c r="P7" s="31"/>
      <c r="Q7" s="31"/>
      <c r="R7" s="31"/>
      <c r="S7" s="31"/>
      <c r="T7" s="31"/>
    </row>
    <row r="8" spans="1:20" x14ac:dyDescent="0.35">
      <c r="A8" s="31"/>
      <c r="B8" s="31"/>
      <c r="C8" s="31"/>
      <c r="D8" s="31"/>
      <c r="E8" s="31"/>
      <c r="F8" s="31"/>
      <c r="G8" s="31"/>
      <c r="H8" s="31"/>
      <c r="I8" s="31"/>
      <c r="J8" s="31"/>
      <c r="K8" s="31"/>
      <c r="L8" s="31"/>
      <c r="M8" s="31"/>
      <c r="N8" s="31"/>
      <c r="O8" s="31"/>
      <c r="P8" s="31"/>
      <c r="Q8" s="31"/>
      <c r="R8" s="31"/>
      <c r="S8" s="31"/>
      <c r="T8" s="31"/>
    </row>
    <row r="9" spans="1:20" x14ac:dyDescent="0.35">
      <c r="A9" s="31"/>
      <c r="B9" s="31"/>
      <c r="C9" s="31"/>
      <c r="D9" s="31"/>
      <c r="E9" s="31"/>
      <c r="F9" s="31"/>
      <c r="G9" s="31"/>
      <c r="H9" s="31"/>
      <c r="I9" s="31"/>
      <c r="J9" s="31"/>
      <c r="K9" s="31"/>
      <c r="L9" s="31"/>
      <c r="M9" s="31"/>
      <c r="N9" s="31"/>
      <c r="O9" s="31"/>
      <c r="P9" s="31"/>
      <c r="Q9" s="31"/>
      <c r="R9" s="31"/>
      <c r="S9" s="31"/>
      <c r="T9" s="31"/>
    </row>
    <row r="10" spans="1:20" x14ac:dyDescent="0.35">
      <c r="A10" s="31"/>
      <c r="B10" s="31"/>
      <c r="C10" s="31"/>
      <c r="D10" s="31"/>
      <c r="E10" s="31"/>
      <c r="F10" s="31"/>
      <c r="G10" s="31"/>
      <c r="H10" s="31"/>
      <c r="I10" s="31"/>
      <c r="J10" s="31"/>
      <c r="K10" s="31"/>
      <c r="L10" s="31"/>
      <c r="M10" s="31"/>
      <c r="N10" s="31"/>
      <c r="O10" s="31"/>
      <c r="P10" s="31"/>
      <c r="Q10" s="31"/>
      <c r="R10" s="31"/>
      <c r="S10" s="31"/>
      <c r="T10" s="31"/>
    </row>
    <row r="11" spans="1:20" x14ac:dyDescent="0.35">
      <c r="A11" s="31"/>
      <c r="B11" s="31"/>
      <c r="C11" s="31"/>
      <c r="D11" s="31"/>
      <c r="E11" s="31"/>
      <c r="F11" s="31"/>
      <c r="G11" s="31"/>
      <c r="H11" s="31"/>
      <c r="I11" s="31"/>
      <c r="J11" s="31"/>
      <c r="K11" s="31"/>
      <c r="L11" s="31"/>
      <c r="M11" s="31"/>
      <c r="N11" s="31"/>
      <c r="O11" s="31"/>
      <c r="P11" s="31"/>
      <c r="Q11" s="31"/>
      <c r="R11" s="31"/>
      <c r="S11" s="31"/>
      <c r="T11" s="31"/>
    </row>
    <row r="12" spans="1:20" x14ac:dyDescent="0.35">
      <c r="A12" s="31"/>
      <c r="B12" s="31"/>
      <c r="C12" s="31"/>
      <c r="D12" s="31"/>
      <c r="E12" s="31"/>
      <c r="F12" s="31"/>
      <c r="G12" s="31"/>
      <c r="H12" s="31"/>
      <c r="I12" s="31"/>
      <c r="J12" s="31"/>
      <c r="K12" s="31"/>
      <c r="L12" s="31"/>
      <c r="M12" s="31"/>
      <c r="N12" s="31"/>
      <c r="O12" s="31"/>
      <c r="P12" s="31"/>
      <c r="Q12" s="31"/>
      <c r="R12" s="31"/>
      <c r="S12" s="31"/>
      <c r="T12" s="31"/>
    </row>
    <row r="13" spans="1:20" x14ac:dyDescent="0.35">
      <c r="A13" s="31"/>
      <c r="B13" s="31"/>
      <c r="C13" s="31"/>
      <c r="D13" s="31"/>
      <c r="E13" s="31"/>
      <c r="F13" s="31"/>
      <c r="G13" s="31"/>
      <c r="H13" s="31"/>
      <c r="I13" s="31"/>
      <c r="J13" s="31"/>
      <c r="K13" s="31"/>
      <c r="L13" s="31"/>
      <c r="M13" s="31"/>
      <c r="N13" s="31"/>
      <c r="O13" s="31"/>
      <c r="P13" s="31"/>
      <c r="Q13" s="31"/>
      <c r="R13" s="31"/>
      <c r="S13" s="31"/>
      <c r="T13" s="31"/>
    </row>
    <row r="14" spans="1:20" x14ac:dyDescent="0.35">
      <c r="A14" s="31"/>
      <c r="B14" s="31"/>
      <c r="C14" s="31"/>
      <c r="D14" s="31"/>
      <c r="E14" s="31"/>
      <c r="F14" s="31"/>
      <c r="G14" s="31"/>
      <c r="H14" s="31"/>
      <c r="I14" s="31"/>
      <c r="J14" s="31"/>
      <c r="K14" s="31"/>
      <c r="L14" s="31"/>
      <c r="M14" s="31"/>
      <c r="N14" s="31"/>
      <c r="O14" s="31"/>
      <c r="P14" s="31"/>
      <c r="Q14" s="31"/>
      <c r="R14" s="31"/>
      <c r="S14" s="31"/>
      <c r="T14" s="31"/>
    </row>
    <row r="15" spans="1:20" x14ac:dyDescent="0.35">
      <c r="A15" s="31"/>
      <c r="B15" s="31"/>
      <c r="C15" s="31"/>
      <c r="D15" s="31"/>
      <c r="E15" s="31"/>
      <c r="F15" s="31"/>
      <c r="G15" s="31"/>
      <c r="H15" s="31"/>
      <c r="I15" s="31"/>
      <c r="J15" s="31"/>
      <c r="K15" s="31"/>
      <c r="L15" s="31"/>
      <c r="M15" s="31"/>
      <c r="N15" s="31"/>
      <c r="O15" s="31"/>
      <c r="P15" s="31"/>
      <c r="Q15" s="31"/>
      <c r="R15" s="31"/>
      <c r="S15" s="31"/>
      <c r="T15" s="31"/>
    </row>
    <row r="16" spans="1:20" x14ac:dyDescent="0.35">
      <c r="A16" s="31"/>
      <c r="B16" s="31"/>
      <c r="C16" s="31"/>
      <c r="D16" s="31"/>
      <c r="E16" s="31"/>
      <c r="F16" s="31"/>
      <c r="G16" s="31"/>
      <c r="H16" s="31"/>
      <c r="I16" s="31"/>
      <c r="J16" s="31"/>
      <c r="K16" s="31"/>
      <c r="L16" s="31"/>
      <c r="M16" s="31"/>
      <c r="N16" s="31"/>
      <c r="O16" s="31"/>
      <c r="P16" s="31"/>
      <c r="Q16" s="31"/>
      <c r="R16" s="31"/>
      <c r="S16" s="31"/>
      <c r="T16" s="31"/>
    </row>
    <row r="17" spans="1:20" x14ac:dyDescent="0.35">
      <c r="A17" s="31"/>
      <c r="B17" s="31"/>
      <c r="C17" s="31"/>
      <c r="D17" s="31"/>
      <c r="E17" s="31"/>
      <c r="F17" s="31"/>
      <c r="G17" s="31"/>
      <c r="H17" s="31"/>
      <c r="I17" s="31"/>
      <c r="J17" s="31"/>
      <c r="K17" s="31"/>
      <c r="L17" s="31"/>
      <c r="M17" s="31"/>
      <c r="N17" s="31"/>
      <c r="O17" s="31"/>
      <c r="P17" s="31"/>
      <c r="Q17" s="31"/>
      <c r="R17" s="31"/>
      <c r="S17" s="31"/>
      <c r="T17" s="31"/>
    </row>
    <row r="18" spans="1:20" x14ac:dyDescent="0.35">
      <c r="A18" s="31"/>
      <c r="B18" s="31"/>
      <c r="C18" s="31"/>
      <c r="D18" s="31"/>
      <c r="E18" s="31"/>
      <c r="F18" s="31"/>
      <c r="G18" s="31"/>
      <c r="H18" s="31"/>
      <c r="I18" s="31"/>
      <c r="J18" s="31"/>
      <c r="K18" s="31"/>
      <c r="L18" s="31"/>
      <c r="M18" s="31"/>
      <c r="N18" s="31"/>
      <c r="O18" s="31"/>
      <c r="P18" s="31"/>
      <c r="Q18" s="31"/>
      <c r="R18" s="31"/>
      <c r="S18" s="31"/>
      <c r="T18" s="31"/>
    </row>
    <row r="19" spans="1:20" x14ac:dyDescent="0.35">
      <c r="A19" s="31"/>
      <c r="B19" s="31"/>
      <c r="C19" s="31"/>
      <c r="D19" s="31"/>
      <c r="E19" s="31"/>
      <c r="F19" s="31"/>
      <c r="G19" s="31"/>
      <c r="H19" s="31"/>
      <c r="I19" s="31"/>
      <c r="J19" s="31"/>
      <c r="K19" s="31"/>
      <c r="L19" s="31"/>
      <c r="M19" s="31"/>
      <c r="N19" s="31"/>
      <c r="O19" s="31"/>
      <c r="P19" s="31"/>
      <c r="Q19" s="31"/>
      <c r="R19" s="31"/>
      <c r="S19" s="31"/>
      <c r="T19" s="31"/>
    </row>
    <row r="20" spans="1:20" x14ac:dyDescent="0.35">
      <c r="A20" s="31"/>
      <c r="B20" s="31"/>
      <c r="C20" s="31"/>
      <c r="D20" s="31"/>
      <c r="E20" s="31"/>
      <c r="F20" s="31"/>
      <c r="G20" s="31"/>
      <c r="H20" s="31"/>
      <c r="I20" s="31"/>
      <c r="J20" s="31"/>
      <c r="K20" s="31"/>
      <c r="L20" s="31"/>
      <c r="M20" s="31"/>
      <c r="N20" s="31"/>
      <c r="O20" s="31"/>
      <c r="P20" s="31"/>
      <c r="Q20" s="31"/>
      <c r="R20" s="31"/>
      <c r="S20" s="31"/>
      <c r="T20" s="31"/>
    </row>
    <row r="21" spans="1:20" x14ac:dyDescent="0.35">
      <c r="A21" s="31"/>
      <c r="B21" s="31"/>
      <c r="C21" s="31"/>
      <c r="D21" s="31"/>
      <c r="E21" s="31"/>
      <c r="F21" s="31"/>
      <c r="G21" s="31"/>
      <c r="H21" s="31"/>
      <c r="I21" s="31"/>
      <c r="J21" s="31"/>
      <c r="K21" s="31"/>
      <c r="L21" s="31"/>
      <c r="M21" s="31"/>
      <c r="N21" s="31"/>
      <c r="O21" s="31"/>
      <c r="P21" s="31"/>
      <c r="Q21" s="31"/>
      <c r="R21" s="31"/>
      <c r="S21" s="31"/>
      <c r="T21" s="31"/>
    </row>
    <row r="22" spans="1:20" x14ac:dyDescent="0.35">
      <c r="A22" s="31"/>
      <c r="B22" s="31"/>
      <c r="C22" s="31"/>
      <c r="D22" s="31"/>
      <c r="E22" s="31"/>
      <c r="F22" s="31"/>
      <c r="G22" s="31"/>
      <c r="H22" s="31"/>
      <c r="I22" s="31"/>
      <c r="J22" s="31"/>
      <c r="K22" s="31"/>
      <c r="L22" s="31"/>
      <c r="M22" s="31"/>
      <c r="N22" s="31"/>
      <c r="O22" s="31"/>
      <c r="P22" s="31"/>
      <c r="Q22" s="31"/>
      <c r="R22" s="31"/>
      <c r="S22" s="31"/>
      <c r="T22" s="31"/>
    </row>
    <row r="23" spans="1:20" x14ac:dyDescent="0.35">
      <c r="A23" s="31"/>
      <c r="B23" s="31"/>
      <c r="C23" s="31"/>
      <c r="D23" s="31"/>
      <c r="E23" s="31"/>
      <c r="F23" s="31"/>
      <c r="G23" s="31"/>
      <c r="H23" s="31"/>
      <c r="I23" s="31"/>
      <c r="J23" s="31"/>
      <c r="K23" s="31"/>
      <c r="L23" s="31"/>
      <c r="M23" s="31"/>
      <c r="N23" s="31"/>
      <c r="O23" s="31"/>
      <c r="P23" s="31"/>
      <c r="Q23" s="31"/>
      <c r="R23" s="31"/>
      <c r="S23" s="31"/>
      <c r="T23" s="31"/>
    </row>
    <row r="24" spans="1:20" x14ac:dyDescent="0.35">
      <c r="A24" s="31"/>
      <c r="B24" s="31"/>
      <c r="C24" s="31"/>
      <c r="D24" s="31"/>
      <c r="E24" s="31"/>
      <c r="F24" s="31"/>
      <c r="G24" s="31"/>
      <c r="H24" s="31"/>
      <c r="I24" s="31"/>
      <c r="J24" s="31"/>
      <c r="K24" s="31"/>
      <c r="L24" s="31"/>
      <c r="M24" s="31"/>
      <c r="N24" s="31"/>
      <c r="O24" s="31"/>
      <c r="P24" s="31"/>
      <c r="Q24" s="31"/>
      <c r="R24" s="31"/>
      <c r="S24" s="31"/>
      <c r="T24" s="31"/>
    </row>
    <row r="25" spans="1:20" x14ac:dyDescent="0.35">
      <c r="A25" s="31"/>
      <c r="B25" s="31"/>
      <c r="C25" s="31"/>
      <c r="D25" s="31"/>
      <c r="E25" s="31"/>
      <c r="F25" s="31"/>
      <c r="G25" s="31"/>
      <c r="H25" s="31"/>
      <c r="I25" s="31"/>
      <c r="J25" s="31"/>
      <c r="K25" s="31"/>
      <c r="L25" s="31"/>
      <c r="M25" s="31"/>
      <c r="N25" s="31"/>
      <c r="O25" s="31"/>
      <c r="P25" s="31"/>
      <c r="Q25" s="31"/>
      <c r="R25" s="31"/>
      <c r="S25" s="31"/>
      <c r="T25" s="31"/>
    </row>
    <row r="26" spans="1:20" x14ac:dyDescent="0.35">
      <c r="A26" s="31"/>
      <c r="B26" s="31"/>
      <c r="C26" s="31"/>
      <c r="D26" s="31"/>
      <c r="E26" s="31"/>
      <c r="F26" s="31"/>
      <c r="G26" s="31"/>
      <c r="H26" s="31"/>
      <c r="I26" s="31"/>
      <c r="J26" s="31"/>
      <c r="K26" s="31"/>
      <c r="L26" s="31"/>
      <c r="M26" s="31"/>
      <c r="N26" s="31"/>
      <c r="O26" s="31"/>
      <c r="P26" s="31"/>
      <c r="Q26" s="31"/>
      <c r="R26" s="31"/>
      <c r="S26" s="31"/>
      <c r="T26" s="31"/>
    </row>
  </sheetData>
  <mergeCells count="2">
    <mergeCell ref="A1:T21"/>
    <mergeCell ref="A22:T26"/>
  </mergeCells>
  <pageMargins left="0.7" right="0.7" top="0.75" bottom="0.75" header="0.3" footer="0.3"/>
  <pageSetup scale="51"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9FD5E-802E-4F3C-A90F-21D50ABAA85E}">
  <sheetPr>
    <tabColor theme="3" tint="0.39997558519241921"/>
    <pageSetUpPr fitToPage="1"/>
  </sheetPr>
  <dimension ref="E3:K8"/>
  <sheetViews>
    <sheetView workbookViewId="0">
      <selection activeCell="L8" sqref="L8"/>
    </sheetView>
  </sheetViews>
  <sheetFormatPr defaultRowHeight="14.5" x14ac:dyDescent="0.35"/>
  <sheetData>
    <row r="3" spans="5:11" x14ac:dyDescent="0.35">
      <c r="E3" s="28" t="s">
        <v>77</v>
      </c>
      <c r="F3" s="28"/>
      <c r="G3" s="28"/>
      <c r="H3" s="28"/>
      <c r="I3" s="28"/>
      <c r="J3" s="28"/>
      <c r="K3" s="28"/>
    </row>
    <row r="4" spans="5:11" x14ac:dyDescent="0.35">
      <c r="E4" s="28"/>
      <c r="F4" s="28"/>
      <c r="G4" s="28"/>
      <c r="H4" s="28"/>
      <c r="I4" s="28"/>
      <c r="J4" s="28"/>
      <c r="K4" s="28"/>
    </row>
    <row r="5" spans="5:11" ht="18.5" x14ac:dyDescent="0.45">
      <c r="E5" s="29" t="s">
        <v>78</v>
      </c>
      <c r="F5" s="29"/>
      <c r="G5" s="29"/>
      <c r="H5" s="29"/>
      <c r="I5" s="29"/>
      <c r="J5" s="29"/>
      <c r="K5" s="29"/>
    </row>
    <row r="6" spans="5:11" ht="18.5" x14ac:dyDescent="0.45">
      <c r="E6" s="29" t="s">
        <v>79</v>
      </c>
      <c r="F6" s="29"/>
      <c r="G6" s="29"/>
      <c r="H6" s="29"/>
      <c r="I6" s="29"/>
      <c r="J6" s="29"/>
      <c r="K6" s="29"/>
    </row>
    <row r="7" spans="5:11" ht="18.5" x14ac:dyDescent="0.45">
      <c r="E7" s="29" t="s">
        <v>80</v>
      </c>
      <c r="F7" s="29"/>
      <c r="G7" s="29"/>
      <c r="H7" s="29"/>
      <c r="I7" s="29"/>
      <c r="J7" s="29"/>
      <c r="K7" s="29"/>
    </row>
    <row r="8" spans="5:11" ht="18.5" x14ac:dyDescent="0.45">
      <c r="E8" s="29" t="s">
        <v>81</v>
      </c>
      <c r="F8" s="29"/>
      <c r="G8" s="29"/>
      <c r="H8" s="29"/>
      <c r="I8" s="29"/>
      <c r="J8" s="29"/>
      <c r="K8" s="29"/>
    </row>
  </sheetData>
  <mergeCells count="5">
    <mergeCell ref="E3:K4"/>
    <mergeCell ref="E5:K5"/>
    <mergeCell ref="E6:K6"/>
    <mergeCell ref="E7:K7"/>
    <mergeCell ref="E8:K8"/>
  </mergeCells>
  <pageMargins left="0.7" right="0.7" top="0.75" bottom="0.75" header="0.3" footer="0.3"/>
  <pageSetup scale="9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AMAZON SALES DATA</vt:lpstr>
      <vt:lpstr>KPIS</vt:lpstr>
      <vt:lpstr>CITY WISE SALES</vt:lpstr>
      <vt:lpstr>STATE WISE SALES CHART</vt:lpstr>
      <vt:lpstr>PRODUCT WISE UNITS</vt:lpstr>
      <vt:lpstr>SLICERS-STATE AND PRODUCT</vt:lpstr>
      <vt:lpstr>DASBOARD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Sangram keshari Mohapatra</cp:lastModifiedBy>
  <cp:lastPrinted>2026-05-31T01:31:43Z</cp:lastPrinted>
  <dcterms:created xsi:type="dcterms:W3CDTF">2026-05-30T13:41:22Z</dcterms:created>
  <dcterms:modified xsi:type="dcterms:W3CDTF">2026-05-31T01:32:03Z</dcterms:modified>
</cp:coreProperties>
</file>